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" windowWidth="16092" windowHeight="9660"/>
  </bookViews>
  <sheets>
    <sheet name="Sheet4" sheetId="5" r:id="rId1"/>
    <sheet name="Sheet1" sheetId="1" r:id="rId2"/>
  </sheets>
  <definedNames>
    <definedName name="_xlnm._FilterDatabase" localSheetId="1" hidden="1">Sheet1!$O$1:$O$1208</definedName>
  </definedNames>
  <calcPr calcId="124519"/>
  <pivotCaches>
    <pivotCache cacheId="10" r:id="rId3"/>
  </pivotCaches>
</workbook>
</file>

<file path=xl/calcChain.xml><?xml version="1.0" encoding="utf-8"?>
<calcChain xmlns="http://schemas.openxmlformats.org/spreadsheetml/2006/main">
  <c r="P5" i="1"/>
  <c r="P2"/>
  <c r="P7" l="1"/>
  <c r="P10" s="1"/>
  <c r="P13" l="1"/>
  <c r="O18" s="1"/>
  <c r="O194"/>
  <c r="O258"/>
  <c r="O322"/>
  <c r="O386"/>
  <c r="O450"/>
  <c r="O514"/>
  <c r="O578"/>
  <c r="O642"/>
  <c r="O706"/>
  <c r="O770"/>
  <c r="O834"/>
  <c r="O898"/>
  <c r="O962"/>
  <c r="O21"/>
  <c r="O85"/>
  <c r="O149"/>
  <c r="O213"/>
  <c r="O277"/>
  <c r="O341"/>
  <c r="O405"/>
  <c r="O469"/>
  <c r="O533"/>
  <c r="O597"/>
  <c r="O661"/>
  <c r="O725"/>
  <c r="O789"/>
  <c r="O853"/>
  <c r="O917"/>
  <c r="O981"/>
  <c r="O40"/>
  <c r="O104"/>
  <c r="O168"/>
  <c r="O232"/>
  <c r="O296"/>
  <c r="O360"/>
  <c r="O424"/>
  <c r="O488"/>
  <c r="O552"/>
  <c r="O616"/>
  <c r="O680"/>
  <c r="O744"/>
  <c r="O808"/>
  <c r="O872"/>
  <c r="O936"/>
  <c r="O1000"/>
  <c r="O39"/>
  <c r="O103"/>
  <c r="O167"/>
  <c r="O231"/>
  <c r="O295"/>
  <c r="O359"/>
  <c r="O423"/>
  <c r="O487"/>
  <c r="O551"/>
  <c r="O615"/>
  <c r="O679"/>
  <c r="O743"/>
  <c r="O807"/>
  <c r="O871"/>
  <c r="O903"/>
  <c r="O935"/>
  <c r="O967"/>
  <c r="O999"/>
  <c r="O1022"/>
  <c r="O1056"/>
  <c r="O1072"/>
  <c r="O1088"/>
  <c r="O1104"/>
  <c r="O1120"/>
  <c r="O1136"/>
  <c r="O1152"/>
  <c r="O1168"/>
  <c r="O1184"/>
  <c r="O1200"/>
  <c r="O1159"/>
  <c r="O1175"/>
  <c r="O1199"/>
  <c r="O1031"/>
  <c r="O1047"/>
  <c r="O1063"/>
  <c r="O1079"/>
  <c r="O1095"/>
  <c r="O1111"/>
  <c r="O1127"/>
  <c r="O1143"/>
  <c r="O1017"/>
  <c r="O1037"/>
  <c r="O1053"/>
  <c r="O1069"/>
  <c r="O1085"/>
  <c r="O1101"/>
  <c r="O1117"/>
  <c r="O1133"/>
  <c r="O1149"/>
  <c r="O1165"/>
  <c r="O1181"/>
  <c r="O1197"/>
  <c r="O1026"/>
  <c r="O1042"/>
  <c r="O1058"/>
  <c r="O1074"/>
  <c r="O1090"/>
  <c r="O1106"/>
  <c r="O1118"/>
  <c r="O1122"/>
  <c r="O1134"/>
  <c r="O1138"/>
  <c r="O1150"/>
  <c r="O1154"/>
  <c r="O1166"/>
  <c r="O1170"/>
  <c r="O1182"/>
  <c r="O1186"/>
  <c r="O1198"/>
  <c r="O2"/>
  <c r="O130" l="1"/>
  <c r="O66"/>
  <c r="O1190"/>
  <c r="O1174"/>
  <c r="O1158"/>
  <c r="O1142"/>
  <c r="O1126"/>
  <c r="O1110"/>
  <c r="O1094"/>
  <c r="O1078"/>
  <c r="O1062"/>
  <c r="O1046"/>
  <c r="O1030"/>
  <c r="O1201"/>
  <c r="O1185"/>
  <c r="O1169"/>
  <c r="O1153"/>
  <c r="O1137"/>
  <c r="O1121"/>
  <c r="O1105"/>
  <c r="O1089"/>
  <c r="O1073"/>
  <c r="O1057"/>
  <c r="O1041"/>
  <c r="O1025"/>
  <c r="O1187"/>
  <c r="O1131"/>
  <c r="O1115"/>
  <c r="O1099"/>
  <c r="O1083"/>
  <c r="O1067"/>
  <c r="O1051"/>
  <c r="O1035"/>
  <c r="O1013"/>
  <c r="O1179"/>
  <c r="O1163"/>
  <c r="O1147"/>
  <c r="O1188"/>
  <c r="O1172"/>
  <c r="O1156"/>
  <c r="O1140"/>
  <c r="O1124"/>
  <c r="O1108"/>
  <c r="O1092"/>
  <c r="O1076"/>
  <c r="O1060"/>
  <c r="O1028"/>
  <c r="O1003"/>
  <c r="O971"/>
  <c r="O939"/>
  <c r="O907"/>
  <c r="O875"/>
  <c r="O823"/>
  <c r="O759"/>
  <c r="O695"/>
  <c r="O631"/>
  <c r="O567"/>
  <c r="O503"/>
  <c r="O439"/>
  <c r="O375"/>
  <c r="O311"/>
  <c r="O247"/>
  <c r="O183"/>
  <c r="O119"/>
  <c r="O55"/>
  <c r="O1016"/>
  <c r="O952"/>
  <c r="O888"/>
  <c r="O824"/>
  <c r="O760"/>
  <c r="O696"/>
  <c r="O632"/>
  <c r="O568"/>
  <c r="O504"/>
  <c r="O440"/>
  <c r="O376"/>
  <c r="O312"/>
  <c r="O248"/>
  <c r="O184"/>
  <c r="O120"/>
  <c r="O56"/>
  <c r="O997"/>
  <c r="O933"/>
  <c r="O869"/>
  <c r="O805"/>
  <c r="O741"/>
  <c r="O677"/>
  <c r="O613"/>
  <c r="O549"/>
  <c r="O485"/>
  <c r="O421"/>
  <c r="O357"/>
  <c r="O293"/>
  <c r="O229"/>
  <c r="O165"/>
  <c r="O101"/>
  <c r="O37"/>
  <c r="O978"/>
  <c r="O914"/>
  <c r="O850"/>
  <c r="O786"/>
  <c r="O722"/>
  <c r="O658"/>
  <c r="O594"/>
  <c r="O530"/>
  <c r="O466"/>
  <c r="O402"/>
  <c r="O338"/>
  <c r="O274"/>
  <c r="O210"/>
  <c r="O146"/>
  <c r="O82"/>
  <c r="O14"/>
  <c r="O30"/>
  <c r="O46"/>
  <c r="O62"/>
  <c r="O78"/>
  <c r="O94"/>
  <c r="O110"/>
  <c r="O126"/>
  <c r="O142"/>
  <c r="O158"/>
  <c r="O174"/>
  <c r="O190"/>
  <c r="O206"/>
  <c r="O222"/>
  <c r="O238"/>
  <c r="O254"/>
  <c r="O270"/>
  <c r="O286"/>
  <c r="O302"/>
  <c r="O318"/>
  <c r="O334"/>
  <c r="O350"/>
  <c r="O366"/>
  <c r="O382"/>
  <c r="O398"/>
  <c r="O414"/>
  <c r="O430"/>
  <c r="O446"/>
  <c r="O462"/>
  <c r="O478"/>
  <c r="O494"/>
  <c r="O510"/>
  <c r="O526"/>
  <c r="O542"/>
  <c r="O558"/>
  <c r="O574"/>
  <c r="O590"/>
  <c r="O606"/>
  <c r="O622"/>
  <c r="O638"/>
  <c r="O654"/>
  <c r="O670"/>
  <c r="O686"/>
  <c r="O702"/>
  <c r="O718"/>
  <c r="O734"/>
  <c r="O750"/>
  <c r="O766"/>
  <c r="O782"/>
  <c r="O798"/>
  <c r="O814"/>
  <c r="O830"/>
  <c r="O846"/>
  <c r="O862"/>
  <c r="O878"/>
  <c r="O894"/>
  <c r="O910"/>
  <c r="O926"/>
  <c r="O942"/>
  <c r="O958"/>
  <c r="O974"/>
  <c r="O990"/>
  <c r="O1006"/>
  <c r="O17"/>
  <c r="O33"/>
  <c r="O49"/>
  <c r="O65"/>
  <c r="O81"/>
  <c r="O97"/>
  <c r="O113"/>
  <c r="O129"/>
  <c r="O145"/>
  <c r="O161"/>
  <c r="O177"/>
  <c r="O193"/>
  <c r="O209"/>
  <c r="O225"/>
  <c r="O241"/>
  <c r="O257"/>
  <c r="O273"/>
  <c r="O289"/>
  <c r="O305"/>
  <c r="O321"/>
  <c r="O337"/>
  <c r="O353"/>
  <c r="O369"/>
  <c r="O385"/>
  <c r="O401"/>
  <c r="O417"/>
  <c r="O433"/>
  <c r="O449"/>
  <c r="O465"/>
  <c r="O481"/>
  <c r="O497"/>
  <c r="O513"/>
  <c r="O529"/>
  <c r="O545"/>
  <c r="O561"/>
  <c r="O577"/>
  <c r="O593"/>
  <c r="O609"/>
  <c r="O625"/>
  <c r="O641"/>
  <c r="O657"/>
  <c r="O673"/>
  <c r="O689"/>
  <c r="O705"/>
  <c r="O721"/>
  <c r="O737"/>
  <c r="O753"/>
  <c r="O769"/>
  <c r="O785"/>
  <c r="O801"/>
  <c r="O817"/>
  <c r="O833"/>
  <c r="O849"/>
  <c r="O865"/>
  <c r="O881"/>
  <c r="O897"/>
  <c r="O913"/>
  <c r="O929"/>
  <c r="O945"/>
  <c r="O961"/>
  <c r="O977"/>
  <c r="O993"/>
  <c r="O4"/>
  <c r="O20"/>
  <c r="O36"/>
  <c r="O52"/>
  <c r="O68"/>
  <c r="O84"/>
  <c r="O100"/>
  <c r="O116"/>
  <c r="O132"/>
  <c r="O148"/>
  <c r="O164"/>
  <c r="O180"/>
  <c r="O196"/>
  <c r="O212"/>
  <c r="O228"/>
  <c r="O244"/>
  <c r="O260"/>
  <c r="O276"/>
  <c r="O292"/>
  <c r="O308"/>
  <c r="O324"/>
  <c r="O340"/>
  <c r="O356"/>
  <c r="O372"/>
  <c r="O388"/>
  <c r="O404"/>
  <c r="O420"/>
  <c r="O436"/>
  <c r="O452"/>
  <c r="O468"/>
  <c r="O484"/>
  <c r="O500"/>
  <c r="O516"/>
  <c r="O532"/>
  <c r="O548"/>
  <c r="O564"/>
  <c r="O580"/>
  <c r="O596"/>
  <c r="O612"/>
  <c r="O628"/>
  <c r="O644"/>
  <c r="O660"/>
  <c r="O676"/>
  <c r="O692"/>
  <c r="O708"/>
  <c r="O724"/>
  <c r="O740"/>
  <c r="O756"/>
  <c r="O772"/>
  <c r="O788"/>
  <c r="O804"/>
  <c r="O820"/>
  <c r="O836"/>
  <c r="O852"/>
  <c r="O868"/>
  <c r="O884"/>
  <c r="O900"/>
  <c r="O916"/>
  <c r="O932"/>
  <c r="O948"/>
  <c r="O964"/>
  <c r="O980"/>
  <c r="O996"/>
  <c r="O1012"/>
  <c r="O3"/>
  <c r="O19"/>
  <c r="O35"/>
  <c r="O51"/>
  <c r="O67"/>
  <c r="O83"/>
  <c r="O99"/>
  <c r="O115"/>
  <c r="O131"/>
  <c r="O147"/>
  <c r="O163"/>
  <c r="O179"/>
  <c r="O195"/>
  <c r="O211"/>
  <c r="O227"/>
  <c r="O243"/>
  <c r="O259"/>
  <c r="O275"/>
  <c r="O291"/>
  <c r="O307"/>
  <c r="O323"/>
  <c r="O339"/>
  <c r="O355"/>
  <c r="O371"/>
  <c r="O387"/>
  <c r="O403"/>
  <c r="O419"/>
  <c r="O435"/>
  <c r="O451"/>
  <c r="O467"/>
  <c r="O483"/>
  <c r="O499"/>
  <c r="O515"/>
  <c r="O531"/>
  <c r="O547"/>
  <c r="O563"/>
  <c r="O579"/>
  <c r="O595"/>
  <c r="O611"/>
  <c r="O627"/>
  <c r="O643"/>
  <c r="O659"/>
  <c r="O675"/>
  <c r="O691"/>
  <c r="O707"/>
  <c r="O723"/>
  <c r="O739"/>
  <c r="O755"/>
  <c r="O771"/>
  <c r="O787"/>
  <c r="O803"/>
  <c r="O819"/>
  <c r="O835"/>
  <c r="O851"/>
  <c r="O867"/>
  <c r="O883"/>
  <c r="O899"/>
  <c r="O915"/>
  <c r="O931"/>
  <c r="O947"/>
  <c r="O963"/>
  <c r="O979"/>
  <c r="O995"/>
  <c r="O1011"/>
  <c r="O1014"/>
  <c r="O1036"/>
  <c r="O1052"/>
  <c r="O10"/>
  <c r="O26"/>
  <c r="O42"/>
  <c r="O58"/>
  <c r="O74"/>
  <c r="O90"/>
  <c r="O106"/>
  <c r="O122"/>
  <c r="O138"/>
  <c r="O154"/>
  <c r="O170"/>
  <c r="O186"/>
  <c r="O202"/>
  <c r="O218"/>
  <c r="O234"/>
  <c r="O250"/>
  <c r="O266"/>
  <c r="O282"/>
  <c r="O298"/>
  <c r="O314"/>
  <c r="O330"/>
  <c r="O346"/>
  <c r="O362"/>
  <c r="O378"/>
  <c r="O394"/>
  <c r="O410"/>
  <c r="O426"/>
  <c r="O442"/>
  <c r="O458"/>
  <c r="O474"/>
  <c r="O490"/>
  <c r="O506"/>
  <c r="O522"/>
  <c r="O538"/>
  <c r="O554"/>
  <c r="O570"/>
  <c r="O586"/>
  <c r="O602"/>
  <c r="O618"/>
  <c r="O634"/>
  <c r="O650"/>
  <c r="O666"/>
  <c r="O682"/>
  <c r="O698"/>
  <c r="O714"/>
  <c r="O730"/>
  <c r="O746"/>
  <c r="O762"/>
  <c r="O778"/>
  <c r="O794"/>
  <c r="O810"/>
  <c r="O826"/>
  <c r="O842"/>
  <c r="O858"/>
  <c r="O874"/>
  <c r="O890"/>
  <c r="O906"/>
  <c r="O922"/>
  <c r="O938"/>
  <c r="O954"/>
  <c r="O970"/>
  <c r="O986"/>
  <c r="O1002"/>
  <c r="O13"/>
  <c r="O29"/>
  <c r="O45"/>
  <c r="O61"/>
  <c r="O77"/>
  <c r="O93"/>
  <c r="O109"/>
  <c r="O125"/>
  <c r="O141"/>
  <c r="O157"/>
  <c r="O173"/>
  <c r="O189"/>
  <c r="O205"/>
  <c r="O221"/>
  <c r="O237"/>
  <c r="O253"/>
  <c r="O269"/>
  <c r="O285"/>
  <c r="O301"/>
  <c r="O317"/>
  <c r="O333"/>
  <c r="O349"/>
  <c r="O365"/>
  <c r="O381"/>
  <c r="O397"/>
  <c r="O413"/>
  <c r="O429"/>
  <c r="O445"/>
  <c r="O461"/>
  <c r="O477"/>
  <c r="O493"/>
  <c r="O509"/>
  <c r="O525"/>
  <c r="O541"/>
  <c r="O557"/>
  <c r="O573"/>
  <c r="O589"/>
  <c r="O605"/>
  <c r="O621"/>
  <c r="O637"/>
  <c r="O653"/>
  <c r="O669"/>
  <c r="O685"/>
  <c r="O701"/>
  <c r="O717"/>
  <c r="O733"/>
  <c r="O749"/>
  <c r="O765"/>
  <c r="O781"/>
  <c r="O797"/>
  <c r="O813"/>
  <c r="O829"/>
  <c r="O845"/>
  <c r="O861"/>
  <c r="O877"/>
  <c r="O893"/>
  <c r="O909"/>
  <c r="O925"/>
  <c r="O941"/>
  <c r="O957"/>
  <c r="O973"/>
  <c r="O989"/>
  <c r="O1005"/>
  <c r="O16"/>
  <c r="O32"/>
  <c r="O48"/>
  <c r="O64"/>
  <c r="O80"/>
  <c r="O96"/>
  <c r="O112"/>
  <c r="O128"/>
  <c r="O144"/>
  <c r="O160"/>
  <c r="O176"/>
  <c r="O192"/>
  <c r="O208"/>
  <c r="O224"/>
  <c r="O240"/>
  <c r="O256"/>
  <c r="O272"/>
  <c r="O288"/>
  <c r="O304"/>
  <c r="O320"/>
  <c r="O336"/>
  <c r="O352"/>
  <c r="O368"/>
  <c r="O384"/>
  <c r="O400"/>
  <c r="O416"/>
  <c r="O432"/>
  <c r="O448"/>
  <c r="O464"/>
  <c r="O480"/>
  <c r="O496"/>
  <c r="O512"/>
  <c r="O528"/>
  <c r="O544"/>
  <c r="O560"/>
  <c r="O576"/>
  <c r="O592"/>
  <c r="O608"/>
  <c r="O624"/>
  <c r="O640"/>
  <c r="O656"/>
  <c r="O672"/>
  <c r="O688"/>
  <c r="O704"/>
  <c r="O720"/>
  <c r="O736"/>
  <c r="O752"/>
  <c r="O768"/>
  <c r="O784"/>
  <c r="O800"/>
  <c r="O816"/>
  <c r="O832"/>
  <c r="O848"/>
  <c r="O864"/>
  <c r="O880"/>
  <c r="O896"/>
  <c r="O912"/>
  <c r="O928"/>
  <c r="O944"/>
  <c r="O960"/>
  <c r="O976"/>
  <c r="O992"/>
  <c r="O1008"/>
  <c r="O1024"/>
  <c r="O15"/>
  <c r="O31"/>
  <c r="O47"/>
  <c r="O63"/>
  <c r="O79"/>
  <c r="O95"/>
  <c r="O111"/>
  <c r="O127"/>
  <c r="O143"/>
  <c r="O159"/>
  <c r="O175"/>
  <c r="O191"/>
  <c r="O207"/>
  <c r="O223"/>
  <c r="O239"/>
  <c r="O255"/>
  <c r="O271"/>
  <c r="O287"/>
  <c r="O303"/>
  <c r="O319"/>
  <c r="O335"/>
  <c r="O351"/>
  <c r="O367"/>
  <c r="O383"/>
  <c r="O399"/>
  <c r="O415"/>
  <c r="O431"/>
  <c r="O447"/>
  <c r="O463"/>
  <c r="O479"/>
  <c r="O495"/>
  <c r="O511"/>
  <c r="O527"/>
  <c r="O543"/>
  <c r="O559"/>
  <c r="O575"/>
  <c r="O591"/>
  <c r="O607"/>
  <c r="O623"/>
  <c r="O639"/>
  <c r="O655"/>
  <c r="O671"/>
  <c r="O687"/>
  <c r="O703"/>
  <c r="O719"/>
  <c r="O735"/>
  <c r="O751"/>
  <c r="O767"/>
  <c r="O783"/>
  <c r="O799"/>
  <c r="O815"/>
  <c r="O831"/>
  <c r="O847"/>
  <c r="O863"/>
  <c r="O879"/>
  <c r="O895"/>
  <c r="O911"/>
  <c r="O927"/>
  <c r="O943"/>
  <c r="O959"/>
  <c r="O975"/>
  <c r="O991"/>
  <c r="O1007"/>
  <c r="O1023"/>
  <c r="O1032"/>
  <c r="O1048"/>
  <c r="O6"/>
  <c r="O22"/>
  <c r="O38"/>
  <c r="O54"/>
  <c r="O70"/>
  <c r="O86"/>
  <c r="O102"/>
  <c r="O118"/>
  <c r="O134"/>
  <c r="O150"/>
  <c r="O166"/>
  <c r="O182"/>
  <c r="O198"/>
  <c r="O214"/>
  <c r="O230"/>
  <c r="O246"/>
  <c r="O262"/>
  <c r="O278"/>
  <c r="O294"/>
  <c r="O310"/>
  <c r="O326"/>
  <c r="O342"/>
  <c r="O358"/>
  <c r="O374"/>
  <c r="O390"/>
  <c r="O406"/>
  <c r="O422"/>
  <c r="O438"/>
  <c r="O454"/>
  <c r="O470"/>
  <c r="O486"/>
  <c r="O502"/>
  <c r="O518"/>
  <c r="O534"/>
  <c r="O550"/>
  <c r="O566"/>
  <c r="O582"/>
  <c r="O598"/>
  <c r="O614"/>
  <c r="O630"/>
  <c r="O646"/>
  <c r="O662"/>
  <c r="O678"/>
  <c r="O694"/>
  <c r="O710"/>
  <c r="O726"/>
  <c r="O742"/>
  <c r="O758"/>
  <c r="O774"/>
  <c r="O790"/>
  <c r="O806"/>
  <c r="O822"/>
  <c r="O838"/>
  <c r="O854"/>
  <c r="O870"/>
  <c r="O886"/>
  <c r="O902"/>
  <c r="O918"/>
  <c r="O934"/>
  <c r="O950"/>
  <c r="O966"/>
  <c r="O982"/>
  <c r="O998"/>
  <c r="O9"/>
  <c r="O25"/>
  <c r="O41"/>
  <c r="O57"/>
  <c r="O73"/>
  <c r="O89"/>
  <c r="O105"/>
  <c r="O121"/>
  <c r="O137"/>
  <c r="O153"/>
  <c r="O169"/>
  <c r="O185"/>
  <c r="O201"/>
  <c r="O217"/>
  <c r="O233"/>
  <c r="O249"/>
  <c r="O265"/>
  <c r="O281"/>
  <c r="O297"/>
  <c r="O313"/>
  <c r="O329"/>
  <c r="O345"/>
  <c r="O361"/>
  <c r="O377"/>
  <c r="O393"/>
  <c r="O409"/>
  <c r="O425"/>
  <c r="O441"/>
  <c r="O457"/>
  <c r="O473"/>
  <c r="O489"/>
  <c r="O505"/>
  <c r="O521"/>
  <c r="O537"/>
  <c r="O553"/>
  <c r="O569"/>
  <c r="O585"/>
  <c r="O601"/>
  <c r="O617"/>
  <c r="O633"/>
  <c r="O649"/>
  <c r="O665"/>
  <c r="O681"/>
  <c r="O697"/>
  <c r="O713"/>
  <c r="O729"/>
  <c r="O745"/>
  <c r="O761"/>
  <c r="O777"/>
  <c r="O793"/>
  <c r="O809"/>
  <c r="O825"/>
  <c r="O841"/>
  <c r="O857"/>
  <c r="O873"/>
  <c r="O889"/>
  <c r="O905"/>
  <c r="O921"/>
  <c r="O937"/>
  <c r="O953"/>
  <c r="O969"/>
  <c r="O985"/>
  <c r="O1001"/>
  <c r="O12"/>
  <c r="O28"/>
  <c r="O44"/>
  <c r="O60"/>
  <c r="O76"/>
  <c r="O92"/>
  <c r="O108"/>
  <c r="O124"/>
  <c r="O140"/>
  <c r="O156"/>
  <c r="O172"/>
  <c r="O188"/>
  <c r="O204"/>
  <c r="O220"/>
  <c r="O236"/>
  <c r="O252"/>
  <c r="O268"/>
  <c r="O284"/>
  <c r="O300"/>
  <c r="O316"/>
  <c r="O332"/>
  <c r="O348"/>
  <c r="O364"/>
  <c r="O380"/>
  <c r="O396"/>
  <c r="O412"/>
  <c r="O428"/>
  <c r="O444"/>
  <c r="O460"/>
  <c r="O476"/>
  <c r="O492"/>
  <c r="O508"/>
  <c r="O524"/>
  <c r="O540"/>
  <c r="O556"/>
  <c r="O572"/>
  <c r="O588"/>
  <c r="O604"/>
  <c r="O620"/>
  <c r="O636"/>
  <c r="O652"/>
  <c r="O668"/>
  <c r="O684"/>
  <c r="O700"/>
  <c r="O716"/>
  <c r="O732"/>
  <c r="O748"/>
  <c r="O764"/>
  <c r="O780"/>
  <c r="O796"/>
  <c r="O812"/>
  <c r="O828"/>
  <c r="O844"/>
  <c r="O860"/>
  <c r="O876"/>
  <c r="O892"/>
  <c r="O908"/>
  <c r="O924"/>
  <c r="O940"/>
  <c r="O956"/>
  <c r="O972"/>
  <c r="O988"/>
  <c r="O1004"/>
  <c r="O1020"/>
  <c r="O11"/>
  <c r="O27"/>
  <c r="O43"/>
  <c r="O59"/>
  <c r="O75"/>
  <c r="O91"/>
  <c r="O107"/>
  <c r="O123"/>
  <c r="O139"/>
  <c r="O155"/>
  <c r="O171"/>
  <c r="O187"/>
  <c r="O203"/>
  <c r="O219"/>
  <c r="O235"/>
  <c r="O251"/>
  <c r="O267"/>
  <c r="O283"/>
  <c r="O299"/>
  <c r="O315"/>
  <c r="O331"/>
  <c r="O347"/>
  <c r="O363"/>
  <c r="O379"/>
  <c r="O395"/>
  <c r="O411"/>
  <c r="O427"/>
  <c r="O443"/>
  <c r="O459"/>
  <c r="O475"/>
  <c r="O491"/>
  <c r="O507"/>
  <c r="O523"/>
  <c r="O539"/>
  <c r="O555"/>
  <c r="O571"/>
  <c r="O587"/>
  <c r="O603"/>
  <c r="O619"/>
  <c r="O635"/>
  <c r="O651"/>
  <c r="O667"/>
  <c r="O683"/>
  <c r="O699"/>
  <c r="O715"/>
  <c r="O731"/>
  <c r="O747"/>
  <c r="O763"/>
  <c r="O779"/>
  <c r="O795"/>
  <c r="O811"/>
  <c r="O827"/>
  <c r="O843"/>
  <c r="O859"/>
  <c r="O1194"/>
  <c r="O1178"/>
  <c r="O1162"/>
  <c r="O1146"/>
  <c r="O1130"/>
  <c r="O1114"/>
  <c r="O1098"/>
  <c r="O1082"/>
  <c r="O1066"/>
  <c r="O1050"/>
  <c r="O1034"/>
  <c r="O1010"/>
  <c r="O1189"/>
  <c r="O1173"/>
  <c r="O1157"/>
  <c r="O1141"/>
  <c r="O1125"/>
  <c r="O1109"/>
  <c r="O1093"/>
  <c r="O1077"/>
  <c r="O1061"/>
  <c r="O1045"/>
  <c r="O1029"/>
  <c r="O1195"/>
  <c r="O1135"/>
  <c r="O1119"/>
  <c r="O1103"/>
  <c r="O1087"/>
  <c r="O1071"/>
  <c r="O1055"/>
  <c r="O1039"/>
  <c r="O1021"/>
  <c r="O1183"/>
  <c r="O1167"/>
  <c r="O1151"/>
  <c r="O1192"/>
  <c r="O1176"/>
  <c r="O1160"/>
  <c r="O1144"/>
  <c r="O1128"/>
  <c r="O1112"/>
  <c r="O1096"/>
  <c r="O1080"/>
  <c r="O1064"/>
  <c r="O1040"/>
  <c r="O1015"/>
  <c r="O983"/>
  <c r="O951"/>
  <c r="O919"/>
  <c r="O887"/>
  <c r="O839"/>
  <c r="O775"/>
  <c r="O711"/>
  <c r="O647"/>
  <c r="O583"/>
  <c r="O519"/>
  <c r="O455"/>
  <c r="O391"/>
  <c r="O327"/>
  <c r="O263"/>
  <c r="O199"/>
  <c r="O135"/>
  <c r="O71"/>
  <c r="O7"/>
  <c r="O968"/>
  <c r="O904"/>
  <c r="O840"/>
  <c r="O776"/>
  <c r="O712"/>
  <c r="O648"/>
  <c r="O584"/>
  <c r="O520"/>
  <c r="O456"/>
  <c r="O392"/>
  <c r="O328"/>
  <c r="O264"/>
  <c r="O200"/>
  <c r="O136"/>
  <c r="O72"/>
  <c r="O8"/>
  <c r="O949"/>
  <c r="O885"/>
  <c r="O821"/>
  <c r="O757"/>
  <c r="O693"/>
  <c r="O629"/>
  <c r="O565"/>
  <c r="O501"/>
  <c r="O437"/>
  <c r="O373"/>
  <c r="O309"/>
  <c r="O245"/>
  <c r="O181"/>
  <c r="O117"/>
  <c r="O53"/>
  <c r="O994"/>
  <c r="O930"/>
  <c r="O866"/>
  <c r="O802"/>
  <c r="O738"/>
  <c r="O674"/>
  <c r="O610"/>
  <c r="O546"/>
  <c r="O482"/>
  <c r="O418"/>
  <c r="O354"/>
  <c r="O290"/>
  <c r="O226"/>
  <c r="O162"/>
  <c r="O98"/>
  <c r="O34"/>
  <c r="O1102"/>
  <c r="O1086"/>
  <c r="O1070"/>
  <c r="O1054"/>
  <c r="O1038"/>
  <c r="O1018"/>
  <c r="O1193"/>
  <c r="O1177"/>
  <c r="O1161"/>
  <c r="O1145"/>
  <c r="O1129"/>
  <c r="O1113"/>
  <c r="O1097"/>
  <c r="O1081"/>
  <c r="O1065"/>
  <c r="O1049"/>
  <c r="O1033"/>
  <c r="O1009"/>
  <c r="O1139"/>
  <c r="O1123"/>
  <c r="O1107"/>
  <c r="O1091"/>
  <c r="O1075"/>
  <c r="O1059"/>
  <c r="O1043"/>
  <c r="O1027"/>
  <c r="O1191"/>
  <c r="O1171"/>
  <c r="O1155"/>
  <c r="O1196"/>
  <c r="O1180"/>
  <c r="O1164"/>
  <c r="O1148"/>
  <c r="O1132"/>
  <c r="O1116"/>
  <c r="O1100"/>
  <c r="O1084"/>
  <c r="O1068"/>
  <c r="O1044"/>
  <c r="O1019"/>
  <c r="O987"/>
  <c r="O955"/>
  <c r="O923"/>
  <c r="O891"/>
  <c r="O855"/>
  <c r="O791"/>
  <c r="O727"/>
  <c r="O663"/>
  <c r="O599"/>
  <c r="O535"/>
  <c r="O471"/>
  <c r="O407"/>
  <c r="O343"/>
  <c r="O279"/>
  <c r="O215"/>
  <c r="O151"/>
  <c r="O87"/>
  <c r="O23"/>
  <c r="O984"/>
  <c r="O920"/>
  <c r="O856"/>
  <c r="O792"/>
  <c r="O728"/>
  <c r="O664"/>
  <c r="O600"/>
  <c r="O536"/>
  <c r="O472"/>
  <c r="O408"/>
  <c r="O344"/>
  <c r="O280"/>
  <c r="O216"/>
  <c r="O152"/>
  <c r="O88"/>
  <c r="O24"/>
  <c r="O965"/>
  <c r="O901"/>
  <c r="O837"/>
  <c r="O773"/>
  <c r="O709"/>
  <c r="O645"/>
  <c r="O581"/>
  <c r="O517"/>
  <c r="O453"/>
  <c r="O389"/>
  <c r="O325"/>
  <c r="O261"/>
  <c r="O197"/>
  <c r="O133"/>
  <c r="O69"/>
  <c r="O5"/>
  <c r="O946"/>
  <c r="O882"/>
  <c r="O818"/>
  <c r="O754"/>
  <c r="O690"/>
  <c r="O626"/>
  <c r="O562"/>
  <c r="O498"/>
  <c r="O434"/>
  <c r="O370"/>
  <c r="O306"/>
  <c r="O242"/>
  <c r="O178"/>
  <c r="O114"/>
  <c r="O50"/>
</calcChain>
</file>

<file path=xl/sharedStrings.xml><?xml version="1.0" encoding="utf-8"?>
<sst xmlns="http://schemas.openxmlformats.org/spreadsheetml/2006/main" count="10566" uniqueCount="4326">
  <si>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</si>
  <si>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</si>
  <si>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</si>
  <si>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</si>
  <si>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</si>
  <si>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</si>
  <si>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</si>
  <si>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</si>
  <si>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</si>
  <si>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</si>
  <si>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</si>
  <si>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</si>
  <si>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</si>
  <si>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</si>
  <si>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</si>
  <si>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</si>
  <si>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</si>
  <si>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</si>
  <si>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</si>
  <si>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</si>
  <si>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</si>
  <si>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</si>
  <si>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</si>
  <si>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</si>
  <si>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</si>
  <si>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</si>
  <si>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</si>
  <si>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</si>
  <si>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</si>
  <si>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</si>
  <si>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</si>
  <si>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</si>
  <si>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</si>
  <si>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</si>
  <si>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</si>
  <si>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</si>
  <si>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</si>
  <si>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</si>
  <si>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</si>
  <si>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</si>
  <si>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</si>
  <si>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</si>
  <si>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</si>
  <si>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</si>
  <si>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</si>
  <si>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</si>
  <si>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</si>
  <si>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</si>
  <si>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</si>
  <si>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</si>
  <si>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</si>
  <si>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</si>
  <si>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</si>
  <si>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</si>
  <si>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</si>
  <si>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</si>
  <si>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</si>
  <si>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</si>
  <si>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</si>
  <si>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</si>
  <si>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</si>
  <si>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</si>
  <si>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</si>
  <si>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</si>
  <si>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</si>
  <si>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</si>
  <si>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</si>
  <si>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</si>
  <si>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</si>
  <si>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</si>
  <si>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</si>
  <si>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</si>
  <si>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</si>
  <si>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</si>
  <si>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</si>
  <si>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</si>
  <si>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</si>
  <si>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</si>
  <si>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</si>
  <si>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</si>
  <si>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</si>
  <si>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</si>
  <si>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</si>
  <si>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</si>
  <si>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</si>
  <si>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</si>
  <si>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</si>
  <si>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</si>
  <si>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</si>
  <si>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</si>
  <si>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</si>
  <si>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</si>
  <si>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</si>
  <si>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</si>
  <si>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</si>
  <si>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</si>
  <si>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</si>
  <si>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</si>
  <si>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</si>
  <si>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</si>
  <si>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</si>
  <si>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</si>
  <si>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</si>
  <si>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</si>
  <si>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</si>
  <si>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</si>
  <si>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</si>
  <si>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</si>
  <si>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</si>
  <si>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</si>
  <si>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</si>
  <si>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</si>
  <si>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</si>
  <si>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</si>
  <si>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</si>
  <si>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</si>
  <si>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</si>
  <si>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</si>
  <si>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</si>
  <si>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</si>
  <si>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</si>
  <si>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</si>
  <si>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</si>
  <si>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</si>
  <si>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</si>
  <si>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</si>
  <si>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</si>
  <si>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</si>
  <si>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</si>
  <si>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</si>
  <si>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</si>
  <si>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</si>
  <si>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</si>
  <si>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</si>
  <si>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</si>
  <si>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</si>
  <si>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</si>
  <si>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</si>
  <si>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</si>
  <si>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</si>
  <si>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</si>
  <si>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</si>
  <si>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</si>
  <si>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</si>
  <si>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</si>
  <si>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</si>
  <si>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</si>
  <si>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</si>
  <si>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</si>
  <si>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</si>
  <si>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</si>
  <si>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</si>
  <si>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</si>
  <si>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</si>
  <si>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</si>
  <si>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</si>
  <si>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</si>
  <si>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</si>
  <si>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</si>
  <si>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</si>
  <si>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</si>
  <si>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</si>
  <si>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</si>
  <si>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</si>
  <si>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</si>
  <si>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</si>
  <si>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</si>
  <si>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</si>
  <si>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</si>
  <si>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</si>
  <si>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</si>
  <si>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</si>
  <si>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</si>
  <si>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</si>
  <si>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</si>
  <si>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</si>
  <si>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</si>
  <si>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</si>
  <si>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</si>
  <si>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</si>
  <si>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</si>
  <si>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</si>
  <si>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</si>
  <si>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</si>
  <si>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</si>
  <si>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</si>
  <si>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</si>
  <si>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</si>
  <si>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</si>
  <si>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</si>
  <si>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</si>
  <si>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</si>
  <si>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</si>
  <si>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</si>
  <si>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</si>
  <si>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</si>
  <si>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</si>
  <si>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</si>
  <si>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</si>
  <si>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</si>
  <si>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</si>
  <si>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</si>
  <si>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</si>
  <si>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</si>
  <si>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</si>
  <si>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</si>
  <si>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</si>
  <si>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</si>
  <si>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</si>
  <si>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</si>
  <si>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</si>
  <si>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</si>
  <si>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</si>
  <si>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</si>
  <si>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</si>
  <si>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</si>
  <si>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</si>
  <si>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</si>
  <si>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</si>
  <si>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</si>
  <si>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</si>
  <si>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</si>
  <si>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</si>
  <si>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</si>
  <si>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</si>
  <si>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</si>
  <si>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</si>
  <si>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</si>
  <si>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</si>
  <si>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</si>
  <si>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</si>
  <si>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</si>
  <si>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</si>
  <si>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</si>
  <si>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</si>
  <si>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</si>
  <si>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</si>
  <si>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</si>
  <si>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</si>
  <si>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</si>
  <si>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</si>
  <si>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</si>
  <si>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</si>
  <si>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</si>
  <si>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</si>
  <si>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</si>
  <si>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</si>
  <si>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</si>
  <si>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</si>
  <si>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</si>
  <si>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</si>
  <si>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</si>
  <si>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</si>
  <si>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</si>
  <si>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</si>
  <si>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</si>
  <si>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</si>
  <si>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</si>
  <si>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</si>
  <si>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</si>
  <si>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</si>
  <si>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</si>
  <si>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</si>
  <si>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</si>
  <si>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</si>
  <si>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</si>
  <si>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</si>
  <si>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</si>
  <si>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</si>
  <si>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</si>
  <si>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</si>
  <si>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</si>
  <si>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</si>
  <si>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</si>
  <si>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</si>
  <si>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</si>
  <si>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</si>
  <si>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</si>
  <si>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</si>
  <si>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</si>
  <si>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</si>
  <si>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</si>
  <si>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</si>
  <si>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</si>
  <si>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</si>
  <si>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</si>
  <si>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</si>
  <si>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</si>
  <si>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</si>
  <si>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</si>
  <si>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</si>
  <si>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</si>
  <si>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</si>
  <si>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</si>
  <si>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</si>
  <si>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</si>
  <si>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</si>
  <si>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</si>
  <si>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</si>
  <si>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</si>
  <si>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</si>
  <si>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</si>
  <si>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</si>
  <si>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</si>
  <si>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</si>
  <si>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</si>
  <si>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</si>
  <si>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</si>
  <si>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</si>
  <si>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</si>
  <si>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</si>
  <si>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</si>
  <si>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</si>
  <si>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</si>
  <si>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</si>
  <si>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</si>
  <si>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</si>
  <si>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</si>
  <si>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</si>
  <si>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</si>
  <si>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</si>
  <si>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</si>
  <si>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</si>
  <si>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</si>
  <si>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</si>
  <si>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</si>
  <si>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</si>
  <si>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</si>
  <si>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</si>
  <si>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</si>
  <si>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</si>
  <si>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</si>
  <si>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</si>
  <si>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</si>
  <si>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</si>
  <si>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</si>
  <si>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</si>
  <si>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</si>
  <si>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</si>
  <si>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</si>
  <si>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</si>
  <si>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</si>
  <si>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</si>
  <si>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</si>
  <si>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</si>
  <si>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</si>
  <si>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</si>
  <si>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</si>
  <si>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</si>
  <si>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</si>
  <si>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</si>
  <si>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</si>
  <si>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</si>
  <si>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</si>
  <si>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</si>
  <si>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</si>
  <si>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</si>
  <si>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</si>
  <si>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</si>
  <si>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</si>
  <si>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</si>
  <si>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</si>
  <si>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</si>
  <si>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</si>
  <si>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</si>
  <si>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</si>
  <si>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</si>
  <si>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</si>
  <si>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</si>
  <si>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</si>
  <si>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</si>
  <si>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</si>
  <si>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</si>
  <si>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</si>
  <si>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</si>
  <si>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</si>
  <si>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</si>
  <si>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</si>
  <si>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</si>
  <si>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</si>
  <si>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</si>
  <si>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</si>
  <si>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</si>
  <si>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</si>
  <si>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</si>
  <si>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</si>
  <si>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</si>
  <si>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</si>
  <si>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</si>
  <si>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</si>
  <si>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</si>
  <si>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</si>
  <si>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</si>
  <si>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</si>
  <si>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</si>
  <si>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</si>
  <si>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</si>
  <si>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</si>
  <si>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</si>
  <si>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</si>
  <si>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</si>
  <si>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</si>
  <si>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</si>
  <si>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</si>
  <si>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</si>
  <si>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</si>
  <si>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</si>
  <si>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</si>
  <si>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</si>
  <si>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</si>
  <si>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</si>
  <si>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</si>
  <si>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</si>
  <si>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</si>
  <si>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</si>
  <si>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</si>
  <si>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</si>
  <si>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</si>
  <si>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</si>
  <si>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</si>
  <si>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</si>
  <si>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</si>
  <si>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</si>
  <si>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</si>
  <si>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</si>
  <si>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</si>
  <si>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</si>
  <si>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</si>
  <si>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</si>
  <si>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</si>
  <si>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</si>
  <si>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</si>
  <si>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</si>
  <si>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</si>
  <si>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</si>
  <si>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</si>
  <si>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</si>
  <si>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</si>
  <si>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</si>
  <si>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</si>
  <si>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</si>
  <si>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</si>
  <si>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</si>
  <si>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</si>
  <si>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</si>
  <si>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</si>
  <si>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</si>
  <si>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</si>
  <si>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</si>
  <si>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</si>
  <si>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</si>
  <si>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</si>
  <si>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</si>
  <si>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</si>
  <si>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</si>
  <si>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</si>
  <si>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</si>
  <si>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</si>
  <si>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</si>
  <si>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</si>
  <si>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</si>
  <si>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</si>
  <si>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</si>
  <si>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</si>
  <si>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</si>
  <si>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</si>
  <si>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</si>
  <si>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</si>
  <si>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</si>
  <si>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</si>
  <si>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</si>
  <si>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</si>
  <si>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</si>
  <si>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</si>
  <si>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</si>
  <si>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</si>
  <si>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</si>
  <si>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</si>
  <si>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</si>
  <si>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</si>
  <si>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</si>
  <si>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</si>
  <si>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</si>
  <si>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</si>
  <si>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</si>
  <si>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</si>
  <si>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</si>
  <si>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</si>
  <si>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</si>
  <si>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</si>
  <si>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</si>
  <si>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</si>
  <si>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</si>
  <si>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</si>
  <si>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</si>
  <si>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</si>
  <si>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</si>
  <si>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</si>
  <si>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</si>
  <si>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</si>
  <si>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</si>
  <si>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</si>
  <si>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</si>
  <si>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</si>
  <si>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</si>
  <si>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</si>
  <si>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</si>
  <si>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</si>
  <si>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</si>
  <si>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</si>
  <si>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</si>
  <si>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</si>
  <si>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</si>
  <si>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</si>
  <si>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</si>
  <si>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</si>
  <si>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</si>
  <si>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</si>
  <si>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</si>
  <si>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</si>
  <si>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</si>
  <si>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</si>
  <si>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</si>
  <si>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</si>
  <si>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</si>
  <si>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</si>
  <si>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</si>
  <si>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</si>
  <si>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</si>
  <si>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</si>
  <si>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</si>
  <si>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</si>
  <si>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</si>
  <si>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</si>
  <si>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</si>
  <si>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</si>
  <si>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</si>
  <si>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</si>
  <si>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</si>
  <si>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</si>
  <si>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</si>
  <si>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</si>
  <si>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</si>
  <si>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</si>
  <si>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</si>
  <si>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</si>
  <si>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</si>
  <si>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</si>
  <si>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</si>
  <si>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</si>
  <si>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</si>
  <si>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</si>
  <si>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</si>
  <si>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</si>
  <si>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</si>
  <si>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</si>
  <si>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</si>
  <si>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</si>
  <si>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</si>
  <si>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</si>
  <si>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</si>
  <si>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</si>
  <si>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</si>
  <si>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</si>
  <si>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</si>
  <si>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</si>
  <si>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</si>
  <si>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</si>
  <si>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</si>
  <si>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</si>
  <si>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</si>
  <si>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</si>
  <si>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</si>
  <si>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</si>
  <si>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</si>
  <si>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</si>
  <si>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</si>
  <si>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</si>
  <si>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</si>
  <si>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</si>
  <si>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</si>
  <si>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</si>
  <si>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</si>
  <si>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</si>
  <si>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</si>
  <si>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</si>
  <si>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</si>
  <si>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</si>
  <si>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</si>
  <si>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</si>
  <si>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</si>
  <si>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</si>
  <si>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</si>
  <si>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</si>
  <si>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</si>
  <si>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</si>
  <si>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</si>
  <si>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</si>
  <si>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</si>
  <si>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</si>
  <si>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</si>
  <si>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</si>
  <si>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</si>
  <si>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</si>
  <si>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</si>
  <si>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</si>
  <si>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</si>
  <si>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</si>
  <si>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</si>
  <si>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</si>
  <si>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</si>
  <si>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</si>
  <si>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</si>
  <si>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</si>
  <si>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</si>
  <si>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</si>
  <si>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</si>
  <si>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</si>
  <si>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</si>
  <si>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</si>
  <si>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</si>
  <si>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</si>
  <si>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</si>
  <si>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</si>
  <si>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</si>
  <si>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</si>
  <si>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</si>
  <si>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</si>
  <si>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</si>
  <si>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</si>
  <si>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</si>
  <si>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</si>
  <si>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</si>
  <si>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</si>
  <si>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</si>
  <si>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</si>
  <si>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</si>
  <si>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</si>
  <si>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</si>
  <si>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</si>
  <si>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</si>
  <si>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</si>
  <si>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</si>
  <si>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</si>
  <si>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</si>
  <si>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</si>
  <si>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</si>
  <si>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</si>
  <si>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</si>
  <si>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</si>
  <si>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</si>
  <si>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</si>
  <si>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</si>
  <si>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</si>
  <si>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</si>
  <si>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</si>
  <si>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</si>
  <si>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</si>
  <si>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</si>
  <si>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</si>
  <si>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</si>
  <si>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</si>
  <si>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</si>
  <si>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</si>
  <si>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</si>
  <si>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</si>
  <si>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</si>
  <si>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</si>
  <si>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</si>
  <si>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</si>
  <si>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</si>
  <si>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</si>
  <si>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</si>
  <si>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</si>
  <si>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</si>
  <si>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</si>
  <si>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</si>
  <si>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</si>
  <si>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</si>
  <si>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</si>
  <si>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</si>
  <si>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</si>
  <si>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</si>
  <si>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</si>
  <si>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</si>
  <si>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</si>
  <si>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</si>
  <si>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</si>
  <si>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</si>
  <si>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</si>
  <si>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</si>
  <si>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</si>
  <si>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</si>
  <si>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</si>
  <si>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</si>
  <si>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</si>
  <si>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</si>
  <si>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</si>
  <si>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</si>
  <si>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</si>
  <si>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</si>
  <si>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</si>
  <si>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</si>
  <si>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</si>
  <si>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</si>
  <si>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</si>
  <si>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</si>
  <si>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</si>
  <si>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</si>
  <si>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</si>
  <si>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</si>
  <si>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</si>
  <si>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</si>
  <si>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</si>
  <si>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</si>
  <si>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</si>
  <si>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</si>
  <si>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</si>
  <si>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</si>
  <si>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</si>
  <si>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</si>
  <si>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</si>
  <si>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</si>
  <si>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</si>
  <si>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</si>
  <si>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</si>
  <si>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</si>
  <si>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</si>
  <si>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</si>
  <si>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</si>
  <si>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</si>
  <si>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</si>
  <si>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</si>
  <si>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</si>
  <si>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</si>
  <si>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</si>
  <si>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</si>
  <si>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</si>
  <si>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</si>
  <si>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</si>
  <si>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</si>
  <si>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</si>
  <si>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</si>
  <si>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</si>
  <si>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</si>
  <si>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</si>
  <si>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</si>
  <si>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</si>
  <si>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</si>
  <si>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</si>
  <si>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</si>
  <si>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</si>
  <si>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</si>
  <si>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</si>
  <si>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</si>
  <si>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</si>
  <si>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</si>
  <si>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</si>
  <si>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</si>
  <si>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</si>
  <si>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</si>
  <si>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</si>
  <si>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</si>
  <si>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</si>
  <si>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</si>
  <si>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</si>
  <si>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</si>
  <si>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</si>
  <si>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</si>
  <si>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</si>
  <si>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</si>
  <si>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</si>
  <si>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</si>
  <si>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</si>
  <si>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</si>
  <si>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</si>
  <si>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</si>
  <si>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</si>
  <si>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</si>
  <si>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</si>
  <si>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</si>
  <si>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</si>
  <si>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</si>
  <si>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</si>
  <si>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</si>
  <si>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</si>
  <si>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</si>
  <si>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</si>
  <si>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</si>
  <si>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</si>
  <si>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</si>
  <si>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</si>
  <si>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</si>
  <si>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</si>
  <si>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</si>
  <si>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</si>
  <si>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</si>
  <si>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</si>
  <si>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</si>
  <si>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</si>
  <si>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</si>
  <si>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</si>
  <si>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</si>
  <si>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</si>
  <si>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</si>
  <si>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</si>
  <si>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</si>
  <si>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</si>
  <si>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</si>
  <si>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</si>
  <si>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</si>
  <si>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</si>
  <si>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</si>
  <si>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</si>
  <si>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</si>
  <si>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</si>
  <si>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</si>
  <si>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</si>
  <si>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</si>
  <si>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</si>
  <si>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</si>
  <si>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</si>
  <si>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</si>
  <si>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</si>
  <si>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</si>
  <si>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</si>
  <si>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</si>
  <si>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</si>
  <si>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</si>
  <si>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</si>
  <si>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</si>
  <si>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</si>
  <si>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</si>
  <si>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</si>
  <si>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</si>
  <si>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</si>
  <si>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</si>
  <si>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</si>
  <si>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</si>
  <si>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</si>
  <si>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</si>
  <si>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</si>
  <si>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</si>
  <si>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</si>
  <si>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</si>
  <si>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</si>
  <si>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</si>
  <si>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</si>
  <si>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</si>
  <si>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</si>
  <si>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</si>
  <si>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</si>
  <si>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</si>
  <si>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</si>
  <si>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</si>
  <si>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</si>
  <si>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</si>
  <si>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</si>
  <si>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</si>
  <si>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</si>
  <si>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</si>
  <si>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</si>
  <si>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</si>
  <si>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</si>
  <si>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</si>
  <si>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</si>
  <si>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</si>
  <si>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</si>
  <si>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</si>
  <si>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</si>
  <si>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</si>
  <si>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</si>
  <si>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</si>
  <si>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</si>
  <si>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</si>
  <si>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</si>
  <si>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</si>
  <si>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</si>
  <si>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</si>
  <si>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</si>
  <si>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</si>
  <si>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</si>
  <si>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</si>
  <si>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</si>
  <si>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</si>
  <si>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</si>
  <si>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</si>
  <si>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</si>
  <si>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</si>
  <si>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</si>
  <si>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</si>
  <si>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</si>
  <si>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</si>
  <si>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</si>
  <si>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</si>
  <si>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</si>
  <si>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</si>
  <si>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</si>
  <si>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</si>
  <si>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</si>
  <si>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</si>
  <si>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</si>
  <si>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</si>
  <si>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</si>
  <si>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</si>
  <si>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</si>
  <si>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</si>
  <si>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</si>
  <si>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</si>
  <si>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</si>
  <si>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</si>
  <si>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</si>
  <si>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</si>
  <si>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</si>
  <si>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</si>
  <si>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</si>
  <si>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</si>
  <si>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</si>
  <si>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</si>
  <si>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</si>
  <si>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</si>
  <si>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</si>
  <si>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</si>
  <si>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</si>
  <si>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</si>
  <si>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</si>
  <si>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</si>
  <si>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</si>
  <si>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</si>
  <si>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</si>
  <si>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</si>
  <si>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</si>
  <si>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</si>
  <si>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</si>
  <si>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</si>
  <si>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</si>
  <si>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</si>
  <si>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</si>
  <si>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</si>
  <si>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</si>
  <si>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</si>
  <si>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</si>
  <si>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</si>
  <si>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</si>
  <si>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</si>
  <si>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</si>
  <si>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</si>
  <si>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</si>
  <si>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</si>
  <si>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</si>
  <si>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</si>
  <si>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</si>
  <si>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</si>
  <si>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</si>
  <si>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</si>
  <si>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</si>
  <si>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</si>
  <si>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</si>
  <si>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</si>
  <si>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</si>
  <si>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</si>
  <si>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</si>
  <si>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</si>
  <si>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</si>
  <si>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</si>
  <si>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</si>
  <si>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</si>
  <si>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</si>
  <si>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</si>
  <si>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</si>
  <si>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</si>
  <si>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</si>
  <si>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</si>
  <si>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</si>
  <si>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</si>
  <si>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</si>
  <si>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</si>
  <si>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</si>
  <si>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</si>
  <si>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</si>
  <si>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</si>
  <si>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</si>
  <si>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</si>
  <si>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</si>
  <si>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</si>
  <si>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</si>
  <si>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</si>
  <si>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</si>
  <si>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</si>
  <si>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</si>
  <si>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</si>
  <si>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</si>
  <si>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</si>
  <si>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</si>
  <si>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</si>
  <si>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</si>
  <si>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</si>
  <si>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</si>
  <si>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</si>
  <si>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</si>
  <si>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</si>
  <si>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</si>
  <si>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</si>
  <si>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</si>
  <si>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</si>
  <si>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</si>
  <si>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</si>
  <si>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</si>
  <si>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</si>
  <si>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</si>
  <si>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</si>
  <si>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</si>
  <si>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</si>
  <si>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</si>
  <si>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</si>
  <si>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</si>
  <si>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</si>
  <si>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</si>
  <si>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</si>
  <si>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</si>
  <si>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</si>
  <si>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</si>
  <si>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</si>
  <si>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</si>
  <si>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</si>
  <si>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</si>
  <si>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</si>
  <si>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</si>
  <si>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</si>
  <si>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</si>
  <si>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</si>
  <si>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</si>
  <si>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</si>
  <si>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</si>
  <si>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</si>
  <si>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</si>
  <si>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</si>
  <si>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</si>
  <si>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</si>
  <si>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</si>
  <si>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</si>
  <si>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</si>
  <si>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</si>
  <si>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</si>
  <si>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</si>
  <si>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</si>
  <si>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</si>
  <si>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</si>
  <si>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</si>
  <si>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</si>
  <si>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</si>
  <si>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</si>
  <si>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</si>
  <si>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</si>
  <si>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</si>
  <si>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</si>
  <si>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</si>
  <si>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</si>
  <si>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</si>
  <si>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</si>
  <si>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</si>
  <si>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</si>
  <si>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</si>
  <si>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</si>
  <si>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</si>
  <si>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</si>
  <si>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</si>
  <si>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</si>
  <si>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</si>
  <si>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</si>
  <si>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</si>
  <si>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</si>
  <si>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</si>
  <si>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</si>
  <si>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</si>
  <si>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</si>
  <si>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</si>
  <si>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</si>
  <si>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</si>
  <si>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</si>
  <si>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</si>
  <si>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</si>
  <si>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</si>
  <si>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</si>
  <si>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</si>
  <si>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</si>
  <si>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</si>
  <si>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</si>
  <si>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</si>
  <si>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</si>
  <si>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</si>
  <si>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</si>
  <si>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</si>
  <si>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</si>
  <si>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</si>
  <si>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</si>
  <si>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</si>
  <si>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</si>
  <si>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</si>
  <si>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</si>
  <si>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</si>
  <si>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</si>
  <si>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</si>
  <si>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</si>
  <si>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</si>
  <si>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</si>
  <si>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</si>
  <si>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</si>
  <si>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</si>
  <si>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</si>
  <si>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</si>
  <si>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</si>
  <si>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</si>
  <si>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</si>
  <si>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</si>
  <si>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</si>
  <si>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</si>
  <si>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</si>
  <si>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</si>
  <si>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</si>
  <si>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</si>
  <si>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</si>
  <si>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</si>
  <si>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</si>
  <si>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</si>
  <si>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</si>
  <si>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</si>
  <si>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</si>
  <si>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</si>
  <si>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</si>
  <si>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</si>
  <si>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</si>
  <si>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</si>
  <si>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</si>
  <si>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</si>
  <si>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</si>
  <si>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</si>
  <si>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</si>
  <si>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</si>
  <si>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</si>
  <si>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</si>
  <si>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</si>
  <si>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</si>
  <si>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</si>
  <si>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</si>
  <si>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</si>
  <si>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</si>
  <si>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</si>
  <si>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</si>
  <si>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</si>
  <si>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</si>
  <si>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</si>
  <si>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</si>
  <si>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</si>
  <si>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</si>
  <si>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</si>
  <si>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</si>
  <si>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</si>
  <si>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</si>
  <si>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</si>
  <si>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</si>
  <si>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</si>
  <si>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</si>
  <si>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</si>
  <si>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</si>
  <si>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</si>
  <si>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</si>
  <si>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</si>
  <si>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</si>
  <si>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</si>
  <si>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</si>
  <si>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</si>
  <si>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</si>
  <si>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</si>
  <si>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</si>
  <si>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</si>
  <si>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</si>
  <si>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</si>
  <si>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</si>
  <si>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</si>
  <si>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</si>
  <si>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</si>
  <si>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</si>
  <si>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</si>
  <si>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</si>
  <si>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</si>
  <si>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</si>
  <si>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</si>
  <si>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</si>
  <si>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</si>
  <si>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</si>
  <si>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</si>
  <si>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</si>
  <si>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</si>
  <si>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</si>
  <si>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</si>
  <si>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</si>
  <si>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</si>
  <si>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</si>
  <si>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</si>
  <si>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</si>
  <si>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</si>
  <si>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</si>
  <si>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</si>
  <si>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</si>
  <si>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</si>
  <si>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</si>
  <si>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</si>
  <si>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</si>
  <si>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</si>
  <si>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</si>
  <si>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</si>
  <si>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</si>
  <si>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</si>
  <si>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</si>
  <si>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</si>
  <si>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</si>
  <si>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</si>
  <si>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</si>
  <si>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</si>
  <si>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</si>
  <si>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</si>
  <si>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</si>
  <si>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</si>
  <si>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</si>
  <si>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</si>
  <si>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</si>
  <si>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</si>
  <si>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</si>
  <si>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</si>
  <si>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</si>
  <si>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</si>
  <si>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</si>
  <si>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</si>
  <si>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</si>
  <si>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</si>
  <si>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</si>
  <si>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</si>
  <si>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</si>
  <si>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</si>
  <si>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</si>
  <si>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</si>
  <si>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</si>
  <si>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</si>
  <si>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</si>
  <si>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</si>
  <si>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</si>
  <si>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</si>
  <si>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</si>
  <si>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</si>
  <si>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</si>
  <si>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</si>
  <si>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</si>
  <si>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</si>
  <si>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</si>
  <si>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</si>
  <si>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</si>
  <si>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</si>
  <si>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</si>
  <si>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</si>
  <si>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</si>
  <si>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</si>
  <si>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</si>
  <si>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</si>
  <si>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</si>
  <si>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</si>
  <si>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</si>
  <si>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</si>
  <si>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</si>
  <si>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</si>
  <si>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</si>
  <si>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</si>
  <si>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</si>
  <si>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</si>
  <si>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</si>
  <si>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</si>
  <si>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</si>
  <si>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</si>
  <si>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</si>
  <si>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</si>
  <si>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</si>
  <si>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</si>
  <si>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</si>
  <si>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</si>
  <si>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</si>
  <si>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</si>
  <si>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</si>
  <si>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</si>
  <si>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</si>
  <si>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</si>
  <si>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</si>
  <si>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</si>
  <si>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</si>
  <si>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</si>
  <si>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</si>
  <si>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</si>
  <si>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</si>
  <si>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</si>
  <si>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</si>
  <si>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</si>
  <si>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</si>
  <si>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</si>
  <si>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</si>
  <si>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</si>
  <si>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</si>
  <si>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</si>
  <si>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</si>
  <si>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</si>
  <si>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</si>
  <si>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</si>
  <si>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</si>
  <si>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</si>
  <si>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</si>
  <si>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</si>
  <si>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</si>
  <si>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</si>
  <si>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</si>
  <si>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</si>
  <si>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</si>
  <si>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</si>
  <si>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</si>
  <si>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</si>
  <si>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</si>
  <si>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</si>
  <si>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</si>
  <si>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</si>
  <si>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</si>
  <si>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</si>
  <si>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</si>
  <si>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</si>
  <si>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</si>
  <si>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</si>
  <si>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</si>
  <si>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</si>
  <si>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</si>
  <si>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</si>
  <si>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</si>
  <si>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</si>
  <si>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</si>
  <si>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</si>
  <si>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</si>
  <si>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</si>
  <si>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</si>
  <si>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</si>
  <si>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</si>
  <si>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</si>
  <si>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</si>
  <si>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</si>
  <si>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</si>
  <si>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</si>
  <si>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</si>
  <si>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</si>
  <si>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</si>
  <si>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</si>
  <si>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</si>
  <si>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</si>
  <si>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</si>
  <si>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</si>
  <si>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</si>
  <si>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</si>
  <si>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</si>
  <si>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</si>
  <si>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</si>
  <si>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</si>
  <si>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</si>
  <si>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</si>
  <si>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</si>
  <si>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</si>
  <si>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</si>
  <si>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</si>
  <si>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</si>
  <si>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</si>
  <si>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</si>
  <si>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</si>
  <si>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</si>
  <si>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</si>
  <si>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</si>
  <si>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</si>
  <si>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</si>
  <si>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</si>
  <si>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</si>
  <si>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</si>
  <si>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</si>
  <si>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</si>
  <si>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</si>
  <si>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</si>
  <si>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</si>
  <si>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</si>
  <si>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</si>
  <si>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</si>
  <si>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</si>
  <si>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</si>
  <si>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</si>
  <si>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</si>
  <si>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</si>
  <si>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</si>
  <si>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</si>
  <si>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</si>
  <si>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</si>
  <si>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</si>
  <si>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</si>
  <si>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</si>
  <si>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</si>
  <si>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</si>
  <si>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</si>
  <si>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</si>
  <si>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</si>
  <si>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</si>
  <si>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</si>
  <si>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</si>
  <si>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</si>
  <si>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</si>
  <si>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</si>
  <si>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</si>
  <si>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</si>
  <si>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</si>
  <si>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</si>
  <si>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</si>
  <si>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</si>
  <si>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</si>
  <si>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</si>
  <si>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</si>
  <si>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</si>
  <si>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</si>
  <si>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</si>
  <si>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</si>
  <si>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</si>
  <si>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</si>
  <si>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</si>
  <si>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</si>
  <si>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</si>
  <si>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</si>
  <si>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</si>
  <si>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</si>
  <si>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</si>
  <si>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</si>
  <si>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</si>
  <si>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</si>
  <si>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</si>
  <si>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</si>
  <si>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</si>
  <si>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</si>
  <si>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</si>
  <si>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</si>
  <si>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</si>
  <si>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</si>
  <si>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</si>
  <si>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</si>
  <si>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</si>
  <si>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</si>
  <si>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</si>
  <si>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</si>
  <si>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</si>
  <si>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</si>
  <si>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</si>
  <si>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</si>
  <si>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</si>
  <si>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</si>
  <si>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</si>
  <si>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</si>
  <si>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</si>
  <si>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</si>
  <si>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</si>
  <si>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</si>
  <si>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</si>
  <si>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</si>
  <si>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</si>
  <si>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</si>
  <si>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</si>
  <si>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</si>
  <si>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</si>
  <si>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</si>
  <si>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</si>
  <si>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</si>
  <si>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</si>
  <si>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</si>
  <si>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</si>
  <si>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</si>
  <si>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</si>
  <si>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</si>
  <si>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</si>
  <si>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</si>
  <si>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</si>
  <si>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</si>
  <si>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</si>
  <si>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</si>
  <si>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</si>
  <si>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</si>
  <si>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</si>
  <si>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</si>
  <si>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</si>
  <si>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</si>
  <si>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</si>
  <si>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</si>
  <si>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</si>
  <si>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</si>
  <si>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</si>
  <si>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</si>
  <si>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</si>
  <si>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</si>
  <si>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</si>
  <si>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</si>
  <si>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</si>
  <si>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</si>
  <si>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</si>
  <si>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</si>
  <si>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</si>
  <si>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</si>
  <si>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</si>
  <si>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</si>
  <si>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</si>
  <si>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</si>
  <si>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</si>
  <si>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</si>
  <si>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</si>
  <si>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</si>
  <si>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</si>
  <si>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</si>
  <si>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</si>
  <si>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</si>
  <si>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</si>
  <si>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</si>
  <si>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</si>
  <si>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</si>
  <si>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</si>
  <si>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</si>
  <si>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</si>
  <si>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</si>
  <si>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</si>
  <si>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</si>
  <si>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</si>
  <si>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</si>
  <si>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</si>
  <si>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</si>
  <si>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</si>
  <si>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</si>
  <si>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</si>
  <si>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</si>
  <si>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</si>
  <si>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</si>
  <si>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</si>
  <si>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</si>
  <si>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</si>
  <si>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</si>
  <si>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</si>
  <si>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</si>
  <si>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</si>
  <si>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</si>
  <si>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</si>
  <si>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</si>
  <si>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</si>
  <si>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</si>
  <si>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</si>
  <si>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</si>
  <si>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</si>
  <si>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</si>
  <si>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</si>
  <si>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</si>
  <si>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</si>
  <si>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</si>
  <si>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</si>
  <si>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</si>
  <si>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</si>
  <si>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</si>
  <si>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</si>
  <si>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</si>
  <si>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</si>
  <si>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</si>
  <si>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</si>
  <si>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</si>
  <si>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</si>
  <si>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</si>
  <si>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</si>
  <si>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</si>
  <si>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</si>
  <si>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</si>
  <si>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</si>
  <si>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</si>
  <si>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</si>
  <si>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</si>
  <si>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</si>
  <si>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</si>
  <si>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</si>
  <si>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</si>
  <si>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</si>
  <si>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</si>
  <si>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</si>
  <si>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</si>
  <si>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</si>
  <si>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</si>
  <si>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</si>
  <si>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</si>
  <si>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</si>
  <si>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</si>
  <si>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</si>
  <si>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</si>
  <si>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</si>
  <si>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</si>
  <si>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</si>
  <si>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</si>
  <si>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</si>
  <si>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</si>
  <si>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</si>
  <si>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</si>
  <si>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</si>
  <si>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</si>
  <si>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</si>
  <si>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</si>
  <si>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</si>
  <si>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</si>
  <si>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</si>
  <si>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</si>
  <si>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</si>
  <si>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</si>
  <si>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</si>
  <si>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</si>
  <si>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</si>
  <si>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</si>
  <si>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</si>
  <si>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</si>
  <si>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</si>
  <si>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</si>
  <si>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</si>
  <si>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</si>
  <si>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</si>
  <si>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</si>
  <si>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</si>
  <si>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</si>
  <si>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</si>
  <si>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</si>
  <si>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</si>
  <si>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</si>
  <si>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</si>
  <si>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</si>
  <si>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</si>
  <si>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</si>
  <si>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</si>
  <si>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</si>
  <si>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</si>
  <si>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</si>
  <si>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</si>
  <si>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</si>
  <si>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</si>
  <si>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</si>
  <si>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</si>
  <si>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</si>
  <si>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</si>
  <si>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</si>
  <si>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</si>
  <si>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</si>
  <si>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</si>
  <si>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</si>
  <si>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</si>
  <si>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</si>
  <si>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</si>
  <si>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</si>
  <si>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</si>
  <si>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</si>
  <si>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</si>
  <si>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</si>
  <si>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</si>
  <si>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</si>
  <si>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</si>
  <si>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</si>
  <si>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</si>
  <si>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</si>
  <si>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</si>
  <si>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</si>
  <si>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</si>
  <si>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</si>
  <si>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</si>
  <si>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</si>
  <si>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</si>
  <si>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</si>
  <si>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</si>
  <si>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</si>
  <si>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</si>
  <si>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</si>
  <si>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</si>
  <si>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</si>
  <si>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</si>
  <si>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</si>
  <si>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</si>
  <si>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</si>
  <si>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</si>
  <si>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</si>
  <si>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</si>
  <si>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</si>
  <si>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</si>
  <si>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</si>
  <si>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</si>
  <si>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</si>
  <si>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</si>
  <si>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</si>
  <si>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</si>
  <si>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</si>
  <si>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</si>
  <si>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</si>
  <si>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</si>
  <si>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</si>
  <si>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</si>
  <si>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</si>
  <si>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</si>
  <si>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</si>
  <si>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</si>
  <si>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</si>
  <si>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</si>
  <si>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</si>
  <si>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</si>
  <si>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</si>
  <si>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</si>
  <si>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</si>
  <si>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</si>
  <si>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</si>
  <si>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</si>
  <si>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</si>
  <si>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</si>
  <si>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</si>
  <si>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</si>
  <si>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</si>
  <si>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</si>
  <si>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</si>
  <si>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</si>
  <si>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</si>
  <si>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</si>
  <si>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</si>
  <si>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</si>
  <si>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</si>
  <si>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</si>
  <si>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</si>
  <si>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</si>
  <si>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</si>
  <si>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</si>
  <si>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</si>
  <si>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</si>
  <si>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</si>
  <si>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</si>
  <si>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</si>
  <si>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</si>
  <si>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</si>
  <si>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</si>
  <si>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</si>
  <si>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</si>
  <si>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</si>
  <si>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</si>
  <si>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</si>
  <si>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</si>
  <si>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</si>
  <si>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</si>
  <si>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</si>
  <si>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</si>
  <si>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</si>
  <si>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</si>
  <si>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</si>
  <si>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</si>
  <si>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</si>
  <si>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</si>
  <si>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</si>
  <si>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</si>
  <si>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</si>
  <si>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</si>
  <si>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</si>
  <si>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</si>
  <si>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</si>
  <si>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</si>
  <si>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</si>
  <si>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</si>
  <si>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</si>
  <si>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</si>
  <si>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</si>
  <si>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</si>
  <si>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</si>
  <si>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</si>
  <si>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</si>
  <si>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</si>
  <si>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</si>
  <si>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</si>
  <si>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</si>
  <si>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</si>
  <si>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</si>
  <si>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</si>
  <si>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</si>
  <si>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</si>
  <si>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</si>
  <si>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</si>
  <si>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</si>
  <si>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</si>
  <si>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</si>
  <si>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</si>
  <si>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</si>
  <si>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</si>
  <si>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</si>
  <si>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</si>
  <si>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</si>
  <si>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</si>
  <si>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</si>
  <si>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</si>
  <si>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</si>
  <si>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</si>
  <si>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</si>
  <si>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</si>
  <si>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</si>
  <si>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</si>
  <si>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</si>
  <si>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</si>
  <si>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</si>
  <si>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</si>
  <si>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</si>
  <si>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</si>
  <si>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</si>
  <si>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</si>
  <si>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</si>
  <si>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</si>
  <si>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</si>
  <si>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</si>
  <si>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</si>
  <si>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</si>
  <si>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</si>
  <si>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</si>
  <si>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</si>
  <si>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</si>
  <si>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</si>
  <si>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</si>
  <si>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</si>
  <si>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</si>
  <si>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</si>
  <si>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</si>
  <si>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</si>
  <si>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</si>
  <si>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</si>
  <si>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</si>
  <si>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</si>
  <si>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</si>
  <si>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</si>
  <si>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</si>
  <si>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</si>
  <si>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</si>
  <si>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</si>
  <si>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</si>
  <si>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</si>
  <si>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</si>
  <si>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</si>
  <si>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</si>
  <si>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</si>
  <si>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</si>
  <si>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</si>
  <si>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</si>
  <si>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</si>
  <si>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</si>
  <si>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</si>
  <si>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</si>
  <si>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</si>
  <si>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</si>
  <si>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</si>
  <si>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</si>
  <si>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</si>
  <si>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</si>
  <si>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</si>
  <si>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</si>
  <si>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</si>
  <si>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</si>
  <si>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</si>
  <si>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</si>
  <si>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</si>
  <si>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</si>
  <si>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</si>
  <si>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</si>
  <si>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</si>
  <si>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</si>
  <si>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</si>
  <si>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</si>
  <si>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</si>
  <si>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</si>
  <si>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</si>
  <si>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</si>
  <si>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</si>
  <si>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</si>
  <si>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</si>
  <si>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</si>
  <si>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</si>
  <si>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</si>
  <si>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</si>
  <si>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</si>
  <si>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</si>
  <si>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</si>
  <si>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</si>
  <si>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</si>
  <si>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</si>
  <si>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</si>
  <si>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</si>
  <si>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</si>
  <si>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</si>
  <si>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</si>
  <si>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</si>
  <si>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</si>
  <si>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</si>
  <si>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</si>
  <si>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</si>
  <si>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</si>
  <si>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</si>
  <si>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</si>
  <si>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</si>
  <si>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</si>
  <si>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</si>
  <si>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</si>
  <si>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</si>
  <si>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</si>
  <si>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</si>
  <si>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</si>
  <si>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</si>
  <si>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</si>
  <si>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</si>
  <si>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</si>
  <si>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</si>
  <si>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</si>
  <si>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</si>
  <si>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</si>
  <si>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</si>
  <si>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</si>
  <si>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</si>
  <si>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</si>
  <si>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</si>
  <si>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</si>
  <si>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</si>
  <si>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</si>
  <si>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</si>
  <si>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</si>
  <si>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</si>
  <si>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</si>
  <si>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</si>
  <si>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</si>
  <si>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</si>
  <si>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</si>
  <si>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</si>
  <si>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</si>
  <si>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</si>
  <si>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</si>
  <si>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</si>
  <si>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</si>
  <si>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</si>
  <si>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</si>
  <si>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</si>
  <si>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</si>
  <si>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</si>
  <si>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</si>
  <si>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</si>
  <si>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</si>
  <si>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</si>
  <si>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</si>
  <si>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</si>
  <si>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</si>
  <si>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</si>
  <si>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</si>
  <si>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</si>
  <si>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</si>
  <si>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</si>
  <si>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</si>
  <si>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</si>
  <si>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</si>
  <si>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</si>
  <si>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</si>
  <si>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</si>
  <si>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</si>
  <si>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</si>
  <si>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</si>
  <si>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</si>
  <si>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</si>
  <si>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</si>
  <si>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</si>
  <si>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</si>
  <si>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</si>
  <si>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</si>
  <si>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</si>
  <si>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</si>
  <si>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</si>
  <si>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</si>
  <si>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</si>
  <si>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</si>
  <si>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</si>
  <si>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</si>
  <si>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</si>
  <si>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</si>
  <si>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</si>
  <si>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</si>
  <si>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</si>
  <si>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</si>
  <si>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</si>
  <si>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</si>
  <si>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</si>
  <si>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</si>
  <si>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</si>
  <si>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</si>
  <si>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</si>
  <si>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</si>
  <si>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</si>
  <si>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</si>
  <si>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</si>
  <si>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</si>
  <si>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</si>
  <si>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</si>
  <si>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</si>
  <si>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</si>
  <si>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</si>
  <si>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</si>
  <si>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</si>
  <si>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</si>
  <si>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</si>
  <si>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</si>
  <si>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</si>
  <si>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</si>
  <si>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</si>
  <si>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</si>
  <si>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</si>
  <si>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</si>
  <si>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</si>
  <si>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</si>
  <si>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</si>
  <si>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</si>
  <si>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</si>
  <si>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</si>
  <si>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</si>
  <si>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</si>
  <si>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</si>
  <si>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</si>
  <si>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</si>
  <si>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</si>
  <si>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</si>
  <si>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</si>
  <si>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</si>
  <si>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</si>
  <si>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</si>
  <si>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</si>
  <si>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</si>
  <si>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</si>
  <si>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</si>
  <si>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</si>
  <si>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</si>
  <si>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</si>
  <si>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</si>
  <si>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</si>
  <si>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</si>
  <si>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</si>
  <si>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</si>
  <si>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</si>
  <si>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</si>
  <si>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</si>
  <si>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</si>
  <si>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</si>
  <si>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</si>
  <si>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</si>
  <si>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</si>
  <si>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</si>
  <si>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</si>
  <si>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</si>
  <si>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</si>
  <si>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</si>
  <si>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</si>
  <si>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</si>
  <si>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</si>
  <si>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</si>
  <si>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</si>
  <si>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</si>
  <si>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</si>
  <si>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</si>
  <si>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</si>
  <si>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</si>
  <si>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</si>
  <si>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</si>
  <si>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</si>
  <si>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</si>
  <si>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</si>
  <si>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</si>
  <si>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</si>
  <si>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</si>
  <si>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</si>
  <si>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</si>
  <si>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</si>
  <si>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</si>
  <si>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</si>
  <si>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</si>
  <si>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</si>
  <si>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</si>
  <si>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</si>
  <si>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</si>
  <si>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</si>
  <si>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</si>
  <si>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</si>
  <si>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</si>
  <si>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</si>
  <si>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</si>
  <si>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</si>
  <si>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</si>
  <si>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</si>
  <si>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</si>
  <si>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</si>
  <si>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</si>
  <si>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</si>
  <si>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</si>
  <si>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</si>
  <si>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</si>
  <si>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</si>
  <si>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</si>
  <si>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</si>
  <si>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</si>
  <si>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</si>
  <si>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</si>
  <si>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</si>
  <si>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</si>
  <si>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</si>
  <si>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</si>
  <si>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</si>
  <si>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</si>
  <si>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</si>
  <si>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</si>
  <si>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</si>
  <si>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</si>
  <si>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</si>
  <si>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</si>
  <si>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</si>
  <si>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</si>
  <si>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</si>
  <si>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</si>
  <si>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</si>
  <si>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</si>
  <si>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</si>
  <si>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</si>
  <si>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</si>
  <si>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</si>
  <si>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</si>
  <si>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</si>
  <si>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</si>
  <si>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</si>
  <si>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</si>
  <si>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</si>
  <si>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</si>
  <si>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</si>
  <si>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</si>
  <si>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</si>
  <si>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</si>
  <si>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</si>
  <si>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</si>
  <si>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</si>
  <si>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</si>
  <si>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</si>
  <si>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</si>
  <si>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</si>
  <si>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</si>
  <si>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</si>
  <si>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</si>
  <si>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</si>
  <si>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</si>
  <si>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</si>
  <si>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</si>
  <si>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</si>
  <si>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</si>
  <si>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</si>
  <si>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</si>
  <si>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</si>
  <si>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</si>
  <si>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</si>
  <si>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</si>
  <si>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</si>
  <si>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</si>
  <si>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</si>
  <si>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</si>
  <si>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</si>
  <si>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</si>
  <si>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</si>
  <si>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</si>
  <si>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</si>
  <si>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</si>
  <si>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</si>
  <si>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</si>
  <si>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</si>
  <si>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</si>
  <si>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</si>
  <si>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</si>
  <si>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</si>
  <si>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</si>
  <si>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</si>
  <si>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</si>
  <si>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</si>
  <si>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</si>
  <si>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</si>
  <si>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</si>
  <si>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</si>
  <si>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</si>
  <si>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</si>
  <si>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</si>
  <si>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</si>
  <si>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</si>
  <si>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</si>
  <si>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</si>
  <si>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</si>
  <si>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</si>
  <si>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</si>
  <si>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</si>
  <si>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</si>
  <si>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</si>
  <si>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</si>
  <si>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</si>
  <si>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</si>
  <si>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</si>
  <si>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</si>
  <si>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</si>
  <si>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</si>
  <si>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</si>
  <si>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</si>
  <si>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</si>
  <si>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</si>
  <si>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</si>
  <si>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</si>
  <si>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</si>
  <si>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</si>
  <si>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</si>
  <si>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</si>
  <si>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</si>
  <si>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</si>
  <si>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</si>
  <si>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</si>
  <si>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</si>
  <si>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</si>
  <si>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</si>
  <si>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</si>
  <si>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</si>
  <si>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</si>
  <si>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</si>
  <si>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</si>
  <si>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</si>
  <si>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</si>
  <si>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</si>
  <si>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</si>
  <si>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</si>
  <si>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</si>
  <si>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</si>
  <si>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</si>
  <si>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</si>
  <si>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</si>
  <si>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</si>
  <si>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</si>
  <si>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</si>
  <si>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</si>
  <si>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</si>
  <si>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</si>
  <si>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</si>
  <si>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</si>
  <si>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</si>
  <si>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</si>
  <si>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</si>
  <si>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</si>
  <si>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</si>
  <si>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</si>
  <si>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</si>
  <si>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</si>
  <si>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</si>
  <si>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</si>
  <si>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</si>
  <si>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</si>
  <si>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</si>
  <si>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</si>
  <si>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</si>
  <si>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</si>
  <si>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</si>
  <si>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</si>
  <si>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</si>
  <si>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</si>
  <si>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</si>
  <si>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</si>
  <si>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</si>
  <si>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</si>
  <si>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</si>
  <si>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</si>
  <si>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</si>
  <si>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</si>
  <si>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</si>
  <si>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</si>
  <si>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</si>
  <si>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</si>
  <si>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</si>
  <si>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</si>
  <si>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</si>
  <si>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</si>
  <si>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</si>
  <si>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</si>
  <si>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</si>
  <si>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</si>
  <si>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</si>
  <si>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</si>
  <si>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</si>
  <si>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</si>
  <si>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</si>
  <si>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</si>
  <si>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</si>
  <si>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</si>
  <si>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</si>
  <si>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</si>
  <si>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</si>
  <si>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</si>
  <si>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</si>
  <si>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</si>
  <si>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</si>
  <si>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</si>
  <si>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</si>
  <si>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</si>
  <si>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</si>
  <si>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</si>
  <si>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</si>
  <si>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</si>
  <si>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</si>
  <si>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</si>
  <si>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</si>
  <si>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</si>
  <si>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</si>
  <si>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</si>
  <si>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</si>
  <si>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</si>
  <si>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</si>
  <si>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</si>
  <si>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</si>
  <si>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</si>
  <si>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</si>
  <si>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</si>
  <si>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</si>
  <si>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</si>
  <si>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</si>
  <si>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</si>
  <si>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</si>
  <si>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</si>
  <si>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</si>
  <si>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</si>
  <si>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</si>
  <si>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</si>
  <si>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</si>
  <si>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</si>
  <si>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</si>
  <si>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</si>
  <si>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</si>
  <si>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</si>
  <si>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</si>
  <si>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</si>
  <si>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</si>
  <si>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</si>
  <si>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</si>
  <si>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</si>
  <si>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</si>
  <si>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</si>
  <si>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</si>
  <si>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</si>
  <si>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</si>
  <si>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</si>
  <si>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</si>
  <si>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</si>
  <si>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</si>
  <si>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</si>
  <si>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</si>
  <si>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</si>
  <si>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</si>
  <si>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</si>
  <si>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</si>
  <si>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</si>
  <si>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</si>
  <si>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</si>
  <si>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</si>
  <si>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</si>
  <si>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</si>
  <si>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</si>
  <si>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</si>
  <si>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</si>
  <si>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</si>
  <si>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</si>
  <si>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</si>
  <si>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</si>
  <si>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</si>
  <si>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</si>
  <si>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</si>
  <si>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</si>
  <si>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</si>
  <si>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</si>
  <si>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</si>
  <si>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</si>
  <si>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</si>
  <si>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</si>
  <si>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</si>
  <si>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</si>
  <si>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</si>
  <si>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</si>
  <si>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</si>
  <si>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</si>
  <si>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</si>
  <si>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</si>
  <si>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</si>
  <si>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</si>
  <si>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</si>
  <si>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</si>
  <si>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</si>
  <si>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</si>
  <si>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</si>
  <si>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</si>
  <si>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</si>
  <si>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</si>
  <si>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</si>
  <si>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</si>
  <si>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</si>
  <si>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</si>
  <si>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</si>
  <si>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</si>
  <si>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</si>
  <si>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</si>
  <si>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</si>
  <si>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</si>
  <si>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</si>
  <si>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</si>
  <si>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</si>
  <si>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</si>
  <si>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</si>
  <si>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</si>
  <si>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</si>
  <si>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</si>
  <si>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</si>
  <si>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</si>
  <si>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</si>
  <si>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</si>
  <si>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</si>
  <si>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</si>
  <si>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</si>
  <si>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</si>
  <si>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</si>
  <si>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</si>
  <si>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</si>
  <si>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</si>
  <si>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</si>
  <si>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</si>
  <si>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</si>
  <si>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</si>
  <si>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</si>
  <si>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</si>
  <si>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</si>
  <si>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</si>
  <si>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</si>
  <si>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</si>
  <si>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</si>
  <si>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</si>
  <si>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</si>
  <si>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</si>
  <si>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</si>
  <si>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</si>
  <si>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</si>
  <si>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</si>
  <si>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</si>
  <si>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</si>
  <si>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</si>
  <si>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</si>
  <si>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</si>
  <si>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</si>
  <si>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</si>
  <si>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</si>
  <si>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</si>
  <si>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</si>
  <si>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</si>
  <si>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</si>
  <si>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</si>
  <si>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</si>
  <si>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</si>
  <si>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</si>
  <si>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</si>
  <si>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</si>
  <si>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</si>
  <si>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</si>
  <si>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</si>
  <si>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</si>
  <si>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</si>
  <si>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</si>
  <si>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</si>
  <si>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</si>
  <si>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</si>
  <si>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</si>
  <si>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</si>
  <si>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</si>
  <si>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</si>
  <si>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</si>
  <si>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</si>
  <si>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</si>
  <si>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</si>
  <si>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</si>
  <si>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</si>
  <si>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</si>
  <si>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</si>
  <si>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</si>
  <si>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</si>
  <si>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</si>
  <si>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</si>
  <si>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</si>
  <si>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</si>
  <si>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</si>
  <si>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</si>
  <si>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</si>
  <si>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</si>
  <si>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</si>
  <si>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</si>
  <si>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</si>
  <si>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</si>
  <si>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</si>
  <si>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</si>
  <si>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</si>
  <si>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</si>
  <si>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</si>
  <si>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</si>
  <si>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</si>
  <si>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</si>
  <si>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</si>
  <si>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</si>
  <si>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</si>
  <si>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</si>
  <si>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</si>
  <si>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</si>
  <si>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</si>
  <si>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</si>
  <si>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</si>
  <si>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</si>
  <si>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</si>
  <si>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</si>
  <si>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</si>
  <si>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</si>
  <si>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</si>
  <si>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</si>
  <si>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</si>
  <si>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</si>
  <si>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</si>
  <si>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</si>
  <si>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</si>
  <si>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</si>
  <si>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</si>
  <si>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</si>
  <si>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</si>
  <si>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</si>
  <si>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</si>
  <si>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</si>
  <si>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</si>
  <si>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</si>
  <si>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</si>
  <si>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</si>
  <si>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</si>
  <si>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</si>
  <si>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</si>
  <si>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</si>
  <si>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</si>
  <si>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</si>
  <si>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</si>
  <si>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</si>
  <si>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</si>
  <si>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</si>
  <si>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</si>
  <si>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</si>
  <si>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</si>
  <si>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</si>
  <si>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</si>
  <si>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</si>
  <si>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</si>
  <si>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</si>
  <si>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</si>
  <si>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</si>
  <si>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</si>
  <si>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</si>
  <si>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</si>
  <si>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</si>
  <si>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</si>
  <si>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</si>
  <si>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</si>
  <si>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</si>
  <si>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</si>
  <si>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</si>
  <si>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</si>
  <si>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</si>
  <si>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</si>
  <si>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</si>
  <si>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</si>
  <si>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</si>
  <si>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</si>
  <si>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</si>
  <si>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</si>
  <si>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</si>
  <si>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</si>
  <si>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</si>
  <si>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</si>
  <si>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</si>
  <si>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</si>
  <si>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</si>
  <si>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</si>
  <si>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</si>
  <si>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</si>
  <si>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</si>
  <si>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</si>
  <si>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</si>
  <si>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</si>
  <si>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</si>
  <si>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</si>
  <si>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</si>
  <si>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</si>
  <si>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</si>
  <si>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</si>
  <si>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</si>
  <si>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</si>
  <si>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</si>
  <si>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</si>
  <si>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</si>
  <si>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</si>
  <si>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</si>
  <si>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</si>
  <si>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</si>
  <si>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</si>
  <si>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</si>
  <si>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</si>
  <si>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</si>
  <si>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</si>
  <si>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</si>
  <si>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</si>
  <si>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</si>
  <si>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</si>
  <si>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</si>
  <si>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</si>
  <si>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</si>
  <si>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</si>
  <si>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</si>
  <si>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</si>
  <si>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</si>
  <si>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</si>
  <si>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</si>
  <si>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</si>
  <si>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</si>
  <si>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</si>
  <si>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</si>
  <si>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</si>
  <si>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</si>
  <si>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</si>
  <si>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</si>
  <si>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</si>
  <si>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</si>
  <si>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</si>
  <si>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</si>
  <si>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</si>
  <si>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</si>
  <si>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</si>
  <si>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</si>
  <si>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</si>
  <si>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</si>
  <si>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</si>
  <si>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</si>
  <si>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</si>
  <si>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</si>
  <si>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</si>
  <si>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</si>
  <si>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</si>
  <si>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</si>
  <si>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</si>
  <si>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</si>
  <si>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</si>
  <si>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</si>
  <si>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</si>
  <si>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</si>
  <si>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</si>
  <si>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</si>
  <si>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</si>
  <si>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</si>
  <si>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</si>
  <si>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</si>
  <si>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</si>
  <si>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</si>
  <si>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</si>
  <si>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</si>
  <si>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</si>
  <si>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</si>
  <si>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</si>
  <si>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</si>
  <si>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</si>
  <si>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</si>
  <si>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</si>
  <si>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</si>
  <si>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</si>
  <si>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</si>
  <si>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</si>
  <si>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</si>
  <si>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</si>
  <si>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</si>
  <si>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</si>
  <si>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</si>
  <si>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</si>
  <si>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</si>
  <si>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</si>
  <si>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</si>
  <si>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</si>
  <si>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</si>
  <si>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</si>
  <si>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</si>
  <si>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</si>
  <si>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</si>
  <si>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</si>
  <si>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</si>
  <si>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</si>
  <si>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</si>
  <si>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</si>
  <si>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</si>
  <si>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</si>
  <si>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</si>
  <si>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</si>
  <si>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</si>
  <si>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</si>
  <si>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</si>
  <si>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</si>
  <si>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</si>
  <si>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</si>
  <si>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</si>
  <si>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</si>
  <si>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</si>
  <si>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</si>
  <si>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</si>
  <si>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</si>
  <si>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</si>
  <si>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</si>
  <si>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</si>
  <si>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</si>
  <si>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</si>
  <si>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</si>
  <si>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</si>
  <si>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</si>
  <si>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</si>
  <si>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</si>
  <si>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</si>
  <si>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</si>
  <si>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</si>
  <si>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</si>
  <si>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</si>
  <si>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</si>
  <si>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</si>
  <si>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</si>
  <si>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</si>
  <si>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</si>
  <si>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</si>
  <si>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</si>
  <si>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</si>
  <si>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</si>
  <si>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</si>
  <si>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</si>
  <si>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</si>
  <si>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</si>
  <si>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</si>
  <si>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</si>
  <si>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</si>
  <si>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</si>
  <si>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</si>
  <si>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</si>
  <si>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</si>
  <si>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</si>
  <si>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</si>
  <si>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</si>
  <si>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</si>
  <si>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</si>
  <si>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</si>
  <si>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</si>
  <si>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</si>
  <si>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</si>
  <si>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</si>
  <si>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</si>
  <si>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</si>
  <si>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</si>
  <si>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</si>
  <si>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</si>
  <si>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</si>
  <si>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</si>
  <si>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</si>
  <si>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</si>
  <si>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</si>
  <si>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</si>
  <si>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</si>
  <si>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</si>
  <si>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</si>
  <si>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</si>
  <si>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</si>
  <si>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</si>
  <si>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</si>
  <si>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</si>
  <si>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</si>
  <si>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</si>
  <si>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</si>
  <si>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</si>
  <si>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</si>
  <si>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</si>
  <si>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</si>
  <si>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</si>
  <si>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</si>
  <si>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</si>
  <si>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</si>
  <si>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</si>
  <si>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</si>
  <si>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</si>
  <si>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</si>
  <si>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</si>
  <si>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</si>
  <si>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</si>
  <si>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</si>
  <si>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</si>
  <si>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</si>
  <si>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</si>
  <si>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</si>
  <si>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</si>
  <si>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</si>
  <si>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</si>
  <si>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</si>
  <si>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</si>
  <si>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</si>
  <si>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</si>
  <si>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</si>
  <si>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</si>
  <si>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</si>
  <si>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</si>
  <si>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</si>
  <si>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</si>
  <si>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</si>
  <si>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</si>
  <si>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</si>
  <si>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</si>
  <si>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</si>
  <si>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</si>
  <si>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</si>
  <si>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</si>
  <si>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</si>
  <si>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</si>
  <si>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</si>
  <si>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</si>
  <si>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</si>
  <si>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</si>
  <si>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</si>
  <si>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</si>
  <si>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</si>
  <si>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</si>
  <si>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</si>
  <si>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</si>
  <si>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</si>
  <si>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</si>
  <si>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</si>
  <si>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</si>
  <si>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</si>
  <si>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</si>
  <si>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</si>
  <si>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</si>
  <si>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</si>
  <si>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</si>
  <si>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</si>
  <si>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</si>
  <si>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</si>
  <si>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</si>
  <si>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</si>
  <si>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</si>
  <si>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</si>
  <si>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</si>
  <si>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</si>
  <si>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</si>
  <si>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</si>
  <si>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</si>
  <si>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</si>
  <si>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</si>
  <si>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</si>
  <si>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</si>
  <si>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</si>
  <si>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</si>
  <si>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</si>
  <si>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</si>
  <si>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</si>
  <si>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</si>
  <si>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</si>
  <si>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</si>
  <si>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</si>
  <si>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</si>
  <si>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</si>
  <si>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</si>
  <si>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</si>
  <si>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</si>
  <si>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</si>
  <si>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</si>
  <si>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</si>
  <si>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</si>
  <si>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</si>
  <si>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</si>
  <si>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</si>
  <si>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</si>
  <si>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</si>
  <si>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</si>
  <si>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</si>
  <si>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</si>
  <si>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</si>
  <si>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</si>
  <si>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</si>
  <si>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</si>
  <si>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</si>
  <si>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</si>
  <si>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</si>
  <si>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</si>
  <si>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</si>
  <si>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</si>
  <si>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</si>
  <si>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</si>
  <si>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</si>
  <si>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</si>
  <si>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</si>
  <si>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</si>
  <si>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</si>
  <si>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</si>
  <si>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</si>
  <si>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</si>
  <si>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</si>
  <si>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</si>
  <si>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</si>
  <si>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</si>
  <si>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</si>
  <si>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</si>
  <si>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</si>
  <si>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</si>
  <si>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</si>
  <si>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</si>
  <si>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</si>
  <si>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</si>
  <si>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</si>
  <si>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</si>
  <si>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</si>
  <si>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</si>
  <si>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</si>
  <si>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</si>
  <si>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</si>
  <si>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</si>
  <si>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</si>
  <si>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</si>
  <si>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</si>
  <si>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</si>
  <si>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</si>
  <si>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</si>
  <si>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</si>
  <si>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</si>
  <si>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</si>
  <si>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</si>
  <si>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</si>
  <si>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</si>
  <si>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</si>
  <si>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</si>
  <si>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</si>
  <si>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</si>
  <si>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</si>
  <si>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</si>
  <si>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</si>
  <si>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</si>
  <si>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</si>
  <si>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</si>
  <si>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</si>
  <si>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</si>
  <si>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</si>
  <si>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</si>
  <si>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</si>
  <si>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</si>
  <si>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</si>
  <si>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</si>
  <si>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</si>
  <si>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</si>
  <si>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</si>
  <si>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</si>
  <si>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</si>
  <si>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</si>
  <si>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</si>
  <si>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</si>
  <si>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</si>
  <si>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</si>
  <si>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</si>
  <si>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</si>
  <si>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</si>
  <si>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</si>
  <si>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</si>
  <si>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</si>
  <si>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</si>
  <si>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</si>
  <si>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</si>
  <si>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</si>
  <si>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</si>
  <si>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</si>
  <si>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</si>
  <si>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</si>
  <si>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</si>
  <si>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</si>
  <si>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</si>
  <si>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</si>
  <si>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</si>
  <si>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</si>
  <si>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</si>
  <si>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</si>
  <si>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</si>
  <si>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</si>
  <si>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</si>
  <si>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</si>
  <si>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</si>
  <si>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</si>
  <si>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</si>
  <si>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</si>
  <si>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</si>
  <si>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</si>
  <si>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</si>
  <si>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</si>
  <si>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</si>
  <si>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</si>
  <si>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</si>
  <si>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</si>
  <si>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</si>
  <si>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</si>
  <si>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</si>
  <si>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</si>
  <si>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</si>
  <si>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</si>
  <si>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</si>
  <si>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</si>
  <si>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</si>
  <si>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</si>
  <si>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</si>
  <si>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</si>
  <si>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</si>
  <si>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</si>
  <si>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</si>
  <si>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</si>
  <si>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</si>
  <si>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</si>
  <si>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</si>
  <si>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</si>
  <si>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</si>
  <si>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</si>
  <si>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</si>
  <si>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</si>
  <si>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</si>
  <si>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</si>
  <si>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</si>
  <si>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</si>
  <si>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</si>
  <si>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</si>
  <si>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</si>
  <si>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</si>
  <si>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</si>
  <si>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</si>
  <si>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</si>
  <si>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</si>
  <si>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</si>
  <si>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</si>
  <si>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</si>
  <si>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</si>
  <si>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</si>
  <si>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</si>
  <si>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</si>
  <si>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</si>
  <si>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</si>
  <si>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</si>
  <si>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</si>
  <si>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</si>
  <si>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</si>
  <si>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</si>
  <si>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</si>
  <si>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</si>
  <si>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</si>
  <si>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</si>
  <si>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</si>
  <si>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</si>
  <si>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</si>
  <si>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</si>
  <si>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</si>
  <si>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</si>
  <si>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</si>
  <si>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</si>
  <si>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</si>
  <si>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</si>
  <si>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</si>
  <si>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</si>
  <si>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</si>
  <si>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</si>
  <si>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</si>
  <si>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</si>
  <si>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</si>
  <si>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</si>
  <si>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</si>
  <si>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</si>
  <si>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</si>
  <si>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</si>
  <si>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</si>
  <si>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</si>
  <si>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</si>
  <si>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</si>
  <si>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</si>
  <si>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</si>
  <si>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</si>
  <si>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</si>
  <si>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</si>
  <si>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</si>
  <si>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</si>
  <si>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</si>
  <si>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</si>
  <si>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</si>
  <si>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</si>
  <si>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</si>
  <si>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</si>
  <si>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</si>
  <si>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</si>
  <si>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</si>
  <si>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</si>
  <si>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</si>
  <si>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</si>
  <si>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</si>
  <si>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</si>
  <si>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</si>
  <si>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</si>
  <si>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</si>
  <si>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</si>
  <si>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</si>
  <si>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</si>
  <si>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</si>
  <si>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</si>
  <si>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</si>
  <si>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</si>
  <si>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</si>
  <si>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</si>
  <si>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</si>
  <si>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</si>
  <si>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</si>
  <si>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</si>
  <si>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</si>
  <si>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</si>
  <si>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</si>
  <si>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</si>
  <si>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</si>
  <si>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</si>
  <si>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</si>
  <si>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</si>
  <si>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</si>
  <si>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</si>
  <si>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</si>
  <si>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</si>
  <si>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</si>
  <si>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</si>
  <si>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</si>
  <si>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</si>
  <si>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</si>
  <si>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</si>
  <si>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</si>
  <si>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</si>
  <si>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</si>
  <si>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</si>
  <si>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</si>
  <si>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</si>
  <si>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</si>
  <si>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</si>
  <si>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</si>
  <si>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</si>
  <si>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</si>
  <si>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</si>
  <si>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</si>
  <si>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</si>
  <si>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</si>
  <si>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</si>
  <si>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</si>
  <si>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</si>
  <si>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</si>
  <si>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</si>
  <si>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</si>
  <si>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</si>
  <si>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</si>
  <si>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</si>
  <si>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</si>
  <si>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</si>
  <si>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</si>
  <si>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</si>
  <si>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</si>
  <si>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</si>
  <si>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</si>
  <si>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</si>
  <si>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</si>
  <si>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</si>
  <si>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</si>
  <si>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</si>
  <si>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</si>
  <si>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</si>
  <si>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</si>
  <si>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</si>
  <si>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</si>
  <si>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</si>
  <si>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</si>
  <si>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</si>
  <si>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</si>
  <si>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</si>
  <si>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</si>
  <si>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</si>
  <si>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</si>
  <si>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</si>
  <si>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</si>
  <si>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</si>
  <si>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</si>
  <si>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</si>
  <si>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</si>
  <si>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</si>
  <si>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</si>
  <si>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</si>
  <si>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</si>
  <si>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</si>
  <si>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</si>
  <si>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</si>
  <si>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</si>
  <si>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</si>
  <si>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</si>
  <si>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</si>
  <si>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</si>
  <si>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</si>
  <si>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</si>
  <si>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</si>
  <si>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</si>
  <si>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</si>
  <si>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</si>
  <si>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</si>
  <si>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</si>
  <si>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</si>
  <si>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</si>
  <si>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</si>
  <si>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</si>
  <si>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</si>
  <si>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</si>
  <si>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</si>
  <si>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</si>
  <si>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</si>
  <si>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</si>
  <si>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</si>
  <si>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</si>
  <si>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</si>
  <si>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</si>
  <si>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</si>
  <si>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</si>
  <si>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</si>
  <si>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</si>
  <si>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</si>
  <si>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</si>
  <si>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</si>
  <si>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</si>
  <si>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</si>
  <si>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</si>
  <si>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</si>
  <si>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</si>
  <si>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</si>
  <si>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</si>
  <si>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</si>
  <si>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</si>
  <si>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</si>
  <si>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</si>
  <si>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</si>
  <si>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</si>
  <si>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</si>
  <si>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</si>
  <si>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</si>
  <si>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</si>
  <si>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</si>
  <si>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</si>
  <si>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</si>
  <si>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</si>
  <si>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</si>
  <si>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</si>
  <si>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</si>
  <si>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</si>
  <si>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</si>
  <si>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</si>
  <si>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</si>
  <si>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</si>
  <si>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</si>
  <si>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</si>
  <si>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</si>
  <si>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</si>
  <si>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</si>
  <si>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</si>
  <si>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</si>
  <si>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</si>
  <si>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</si>
  <si>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</si>
  <si>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</si>
  <si>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</si>
  <si>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</si>
  <si>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</si>
  <si>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</si>
  <si>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</si>
  <si>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</si>
  <si>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</si>
  <si>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</si>
  <si>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</si>
  <si>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</si>
  <si>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</si>
  <si>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</si>
  <si>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</si>
  <si>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</si>
  <si>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</si>
  <si>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</si>
  <si>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</si>
  <si>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</si>
  <si>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</si>
  <si>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</si>
  <si>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</si>
  <si>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</si>
  <si>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</si>
  <si>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</si>
  <si>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</si>
  <si>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</si>
  <si>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</si>
  <si>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</si>
  <si>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</si>
  <si>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</si>
  <si>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</si>
  <si>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</si>
  <si>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</si>
  <si>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</si>
  <si>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</si>
  <si>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</si>
  <si>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</si>
  <si>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</si>
  <si>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</si>
  <si>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</si>
  <si>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</si>
  <si>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</si>
  <si>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</si>
  <si>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</si>
  <si>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</si>
  <si>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</si>
  <si>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</si>
  <si>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</si>
  <si>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</si>
  <si>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</si>
  <si>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</si>
  <si>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</si>
  <si>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</si>
  <si>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</si>
  <si>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</si>
  <si>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</si>
  <si>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</si>
  <si>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</si>
  <si>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</si>
  <si>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</si>
  <si>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</si>
  <si>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</si>
  <si>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</si>
  <si>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</si>
  <si>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</si>
  <si>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</si>
  <si>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</si>
  <si>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</si>
  <si>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</si>
  <si>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</si>
  <si>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</si>
  <si>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</si>
  <si>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</si>
  <si>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</si>
  <si>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</si>
  <si>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</si>
  <si>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</si>
  <si>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</si>
  <si>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</si>
  <si>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</si>
  <si>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</si>
  <si>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</si>
  <si>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</si>
  <si>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</si>
  <si>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</si>
  <si>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</si>
  <si>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</si>
  <si>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</si>
  <si>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</si>
  <si>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</si>
  <si>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</si>
  <si>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</si>
  <si>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</si>
  <si>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</si>
  <si>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</si>
  <si>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</si>
  <si>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</si>
  <si>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</si>
  <si>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</si>
  <si>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</si>
  <si>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</si>
  <si>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</si>
  <si>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</si>
  <si>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</si>
  <si>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</si>
  <si>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</si>
  <si>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</si>
  <si>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</si>
  <si>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</si>
  <si>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</si>
  <si>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</si>
  <si>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</si>
  <si>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</si>
  <si>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</si>
  <si>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</si>
  <si>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</si>
  <si>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</si>
  <si>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</si>
  <si>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</si>
  <si>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</si>
  <si>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</si>
  <si>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</si>
  <si>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</si>
  <si>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</si>
  <si>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</si>
  <si>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</si>
  <si>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</si>
  <si>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</si>
  <si>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</si>
  <si>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</si>
  <si>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</si>
  <si>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</si>
  <si>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</si>
  <si>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</si>
  <si>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</si>
  <si>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</si>
  <si>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</si>
  <si>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</si>
  <si>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</si>
  <si>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</si>
  <si>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</si>
  <si>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</si>
  <si>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</si>
  <si>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</si>
  <si>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</si>
  <si>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</si>
  <si>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</si>
  <si>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</si>
  <si>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</si>
  <si>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</si>
  <si>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</si>
  <si>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</si>
  <si>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</si>
  <si>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</si>
  <si>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</si>
  <si>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</si>
  <si>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</si>
  <si>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</si>
  <si>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</si>
  <si>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</si>
  <si>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</si>
  <si>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</si>
  <si>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</si>
  <si>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</si>
  <si>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</si>
  <si>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</si>
  <si>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</si>
  <si>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</si>
  <si>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</si>
  <si>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</si>
  <si>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</si>
  <si>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</si>
  <si>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</si>
  <si>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</si>
  <si>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</si>
  <si>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</si>
  <si>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</si>
  <si>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</si>
  <si>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</si>
  <si>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</si>
  <si>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</si>
  <si>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</si>
  <si>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</si>
  <si>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</si>
  <si>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</si>
  <si>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</si>
  <si>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</si>
  <si>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</si>
  <si>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</si>
  <si>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</si>
  <si>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</si>
  <si>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</si>
  <si>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</si>
  <si>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</si>
  <si>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</si>
  <si>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</si>
  <si>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</si>
  <si>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</si>
  <si>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</si>
  <si>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</si>
  <si>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</si>
  <si>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</si>
  <si>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</si>
  <si>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</si>
  <si>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</si>
  <si>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</si>
  <si>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</si>
  <si>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</si>
  <si>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</si>
  <si>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</si>
  <si>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</si>
  <si>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</si>
  <si>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</si>
  <si>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</si>
  <si>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</si>
  <si>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</si>
  <si>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</si>
  <si>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</si>
  <si>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</si>
  <si>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</si>
  <si>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</si>
  <si>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</si>
  <si>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</si>
  <si>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</si>
  <si>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</si>
  <si>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</si>
  <si>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</si>
  <si>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</si>
  <si>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</si>
  <si>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</si>
  <si>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</si>
  <si>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</si>
  <si>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</si>
  <si>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</si>
  <si>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</si>
  <si>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</si>
  <si>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</si>
  <si>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</si>
  <si>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</si>
  <si>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</si>
  <si>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</si>
  <si>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</si>
  <si>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</si>
  <si>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</si>
  <si>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</si>
  <si>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</si>
  <si>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</si>
  <si>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</si>
  <si>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</si>
  <si>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</si>
  <si>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</si>
  <si>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</si>
  <si>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</si>
  <si>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</si>
  <si>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</si>
  <si>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</si>
  <si>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</si>
  <si>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</si>
  <si>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</si>
  <si>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</si>
  <si>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</si>
  <si>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</si>
  <si>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</si>
  <si>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</si>
  <si>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</si>
  <si>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</si>
  <si>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</si>
  <si>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</si>
  <si>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</si>
  <si>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</si>
  <si>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</si>
  <si>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</si>
  <si>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</si>
  <si>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</si>
  <si>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</si>
  <si>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</si>
  <si>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</si>
  <si>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</si>
  <si>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</si>
  <si>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</si>
  <si>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</si>
  <si>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</si>
  <si>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</si>
  <si>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</si>
  <si>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</si>
  <si>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</si>
  <si>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</si>
  <si>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</si>
  <si>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</si>
  <si>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</si>
  <si>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</si>
  <si>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</si>
  <si>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</si>
  <si>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</si>
  <si>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</si>
  <si>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</si>
  <si>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</si>
  <si>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</si>
  <si>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</si>
  <si>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</si>
  <si>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</si>
  <si>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</si>
  <si>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</si>
  <si>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</si>
  <si>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</si>
  <si>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</si>
  <si>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</si>
  <si>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</si>
  <si>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</si>
  <si>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</si>
  <si>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</si>
  <si>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</si>
  <si>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</si>
  <si>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</si>
  <si>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</si>
  <si>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</si>
  <si>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</si>
  <si>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</si>
  <si>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</si>
  <si>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</si>
  <si>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</si>
  <si>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</si>
  <si>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</si>
  <si>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</si>
  <si>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</si>
  <si>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</si>
  <si>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</si>
  <si>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</si>
  <si>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</si>
  <si>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</si>
  <si>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</si>
  <si>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</si>
  <si>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</si>
  <si>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</si>
  <si>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</si>
  <si>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</si>
  <si>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</si>
  <si>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</si>
  <si>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</si>
  <si>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</si>
  <si>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</si>
  <si>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</si>
  <si>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</si>
  <si>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</si>
  <si>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</si>
  <si>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</si>
  <si>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</si>
  <si>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</si>
  <si>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</si>
  <si>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</si>
  <si>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</si>
  <si>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</si>
  <si>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</si>
  <si>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</si>
  <si>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</si>
  <si>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</si>
  <si>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</si>
  <si>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</si>
  <si>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</si>
  <si>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</si>
  <si>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</si>
  <si>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</si>
  <si>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</si>
  <si>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</si>
  <si>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</si>
  <si>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</si>
  <si>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</si>
  <si>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</si>
  <si>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</si>
  <si>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</si>
  <si>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</si>
  <si>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</si>
  <si>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</si>
  <si>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</si>
  <si>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</si>
  <si>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</si>
  <si>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</si>
  <si>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</si>
  <si>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</si>
  <si>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</si>
  <si>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</si>
  <si>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</si>
  <si>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</si>
  <si>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</si>
  <si>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</si>
  <si>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</si>
  <si>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</si>
  <si>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</si>
  <si>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</si>
  <si>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</si>
  <si>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</si>
  <si>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</si>
  <si>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</si>
  <si>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</si>
  <si>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</si>
  <si>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</si>
  <si>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</si>
  <si>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</si>
  <si>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</si>
  <si>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</si>
  <si>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</si>
  <si>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</si>
  <si>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</si>
  <si>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</si>
  <si>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</si>
  <si>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</si>
  <si>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</si>
  <si>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</si>
  <si>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</si>
  <si>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</si>
  <si>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</si>
  <si>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</si>
  <si>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</si>
  <si>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</si>
  <si>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</si>
  <si>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</si>
  <si>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</si>
  <si>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</si>
  <si>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</si>
  <si>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</si>
  <si>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</si>
  <si>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</si>
  <si>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</si>
  <si>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</si>
  <si>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</si>
  <si>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</si>
  <si>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</si>
  <si>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</si>
  <si>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</si>
  <si>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</si>
  <si>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</si>
  <si>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</si>
  <si>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</si>
  <si>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</si>
  <si>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</si>
  <si>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</si>
  <si>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</si>
  <si>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</si>
  <si>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</si>
  <si>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</si>
  <si>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</si>
  <si>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</si>
  <si>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</si>
  <si>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</si>
  <si>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</si>
  <si>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</si>
  <si>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</si>
  <si>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</si>
  <si>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</si>
  <si>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</si>
  <si>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</si>
  <si>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</si>
  <si>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</si>
  <si>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</si>
  <si>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</si>
  <si>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</si>
  <si>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</si>
  <si>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</si>
  <si>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</si>
  <si>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</si>
  <si>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</si>
  <si>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</si>
  <si>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</si>
  <si>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</si>
  <si>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</si>
  <si>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</si>
  <si>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</si>
  <si>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</si>
  <si>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</si>
  <si>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</si>
  <si>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</si>
  <si>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</si>
  <si>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</si>
  <si>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</si>
  <si>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</si>
  <si>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</si>
  <si>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</si>
  <si>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</si>
  <si>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</si>
  <si>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</si>
  <si>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</si>
  <si>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</si>
  <si>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</si>
  <si>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</si>
  <si>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</si>
  <si>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</si>
  <si>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</si>
  <si>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</si>
  <si>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</si>
  <si>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</si>
  <si>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</si>
  <si>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</si>
  <si>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</si>
  <si>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</si>
  <si>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</si>
  <si>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</si>
  <si>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</si>
  <si>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</si>
  <si>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</si>
  <si>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</si>
  <si>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</si>
  <si>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</si>
  <si>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</si>
  <si>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</si>
  <si>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</si>
  <si>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</si>
  <si>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</si>
  <si>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</si>
  <si>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</si>
  <si>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</si>
  <si>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</si>
  <si>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</si>
  <si>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</si>
  <si>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</si>
  <si>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</si>
  <si>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</si>
  <si>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</si>
  <si>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</si>
  <si>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</si>
  <si>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</si>
  <si>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</si>
  <si>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</si>
  <si>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</si>
  <si>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</si>
  <si>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</si>
  <si>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</si>
  <si>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</si>
  <si>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</si>
  <si>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</si>
  <si>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</si>
  <si>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</si>
  <si>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</si>
  <si>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</si>
  <si>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</si>
  <si>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</si>
  <si>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</si>
  <si>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</si>
  <si>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</si>
  <si>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</si>
  <si>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</si>
  <si>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</si>
  <si>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</si>
  <si>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</si>
  <si>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</si>
  <si>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</si>
  <si>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</si>
  <si>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</si>
  <si>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</si>
  <si>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</si>
  <si>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</si>
  <si>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</si>
  <si>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</si>
  <si>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</si>
  <si>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</si>
  <si>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</si>
  <si>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</si>
  <si>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</si>
  <si>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</si>
  <si>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</si>
  <si>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</si>
  <si>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</si>
  <si>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</si>
  <si>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</si>
  <si>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</si>
  <si>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</si>
  <si>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</si>
  <si>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</si>
  <si>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</si>
  <si>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</si>
  <si>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</si>
  <si>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</si>
  <si>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</si>
  <si>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</si>
  <si>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</si>
  <si>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</si>
  <si>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</si>
  <si>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</si>
  <si>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</si>
  <si>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</si>
  <si>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</si>
  <si>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</si>
  <si>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</si>
  <si>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</si>
  <si>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</si>
  <si>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</si>
  <si>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</si>
  <si>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</si>
  <si>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</si>
  <si>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</si>
  <si>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</si>
  <si>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</si>
  <si>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</si>
  <si>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</si>
  <si>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</si>
  <si>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</si>
  <si>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</si>
  <si>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</si>
  <si>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</si>
  <si>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</si>
  <si>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</si>
  <si>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</si>
  <si>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</si>
  <si>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</si>
  <si>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</si>
  <si>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</si>
  <si>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</si>
  <si>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</si>
  <si>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</si>
  <si>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</si>
  <si>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</si>
  <si>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</si>
  <si>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</si>
  <si>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</si>
  <si>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</si>
  <si>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</si>
  <si>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</si>
  <si>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</si>
  <si>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</si>
  <si>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</si>
  <si>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</si>
  <si>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</si>
  <si>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</si>
  <si>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</si>
  <si>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</si>
  <si>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</si>
  <si>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</si>
  <si>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</si>
  <si>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</si>
  <si>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</si>
  <si>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</si>
  <si>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</si>
  <si>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</si>
  <si>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</si>
  <si>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</si>
  <si>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</si>
  <si>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</si>
  <si>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</si>
  <si>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</si>
  <si>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</si>
  <si>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</si>
  <si>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</si>
  <si>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</si>
  <si>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</si>
  <si>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</si>
  <si>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</si>
  <si>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</si>
  <si>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</si>
  <si>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</si>
  <si>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</si>
  <si>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</si>
  <si>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</si>
  <si>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</si>
  <si>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</si>
  <si>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</si>
  <si>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</si>
  <si>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</si>
  <si>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</si>
  <si>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</si>
  <si>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</si>
  <si>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</si>
  <si>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</si>
  <si>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</si>
  <si>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</si>
  <si>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</si>
  <si>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</si>
  <si>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</si>
  <si>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</si>
  <si>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</si>
  <si>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</si>
  <si>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</si>
  <si>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</si>
  <si>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</si>
  <si>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</si>
  <si>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</si>
  <si>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</si>
  <si>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</si>
  <si>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</si>
  <si>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</si>
  <si>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</si>
  <si>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</si>
  <si>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</si>
  <si>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</si>
  <si>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</si>
  <si>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</si>
  <si>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</si>
  <si>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</si>
  <si>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</si>
  <si>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</si>
  <si>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</si>
  <si>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</si>
  <si>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</si>
  <si>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</si>
  <si>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</si>
  <si>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</si>
  <si>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</si>
  <si>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</si>
  <si>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</si>
  <si>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</si>
  <si>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</si>
  <si>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</si>
  <si>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</si>
  <si>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</si>
  <si>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</si>
  <si>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</si>
  <si>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</si>
  <si>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</si>
  <si>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</si>
  <si>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</si>
  <si>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</si>
  <si>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</si>
  <si>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</si>
  <si>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</si>
  <si>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</si>
  <si>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</si>
  <si>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</si>
  <si>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</si>
  <si>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</si>
  <si>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</si>
  <si>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</si>
  <si>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</si>
  <si>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</si>
  <si>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</si>
  <si>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</si>
  <si>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</si>
  <si>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</si>
  <si>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</si>
  <si>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</si>
  <si>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</si>
  <si>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</si>
  <si>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</si>
  <si>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</si>
  <si>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</si>
  <si>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</si>
  <si>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</si>
  <si>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</si>
  <si>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</si>
  <si>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</si>
  <si>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</si>
  <si>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</si>
  <si>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</si>
  <si>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</si>
  <si>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</si>
  <si>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</si>
  <si>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</si>
  <si>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</si>
  <si>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</si>
  <si>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</si>
  <si>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</si>
  <si>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</si>
  <si>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</si>
  <si>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</si>
  <si>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</si>
  <si>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</si>
  <si>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</si>
  <si>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</si>
  <si>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</si>
  <si>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</si>
  <si>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</si>
  <si>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</si>
  <si>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</si>
  <si>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</si>
  <si>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</si>
  <si>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</si>
  <si>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</si>
  <si>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</si>
  <si>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</si>
  <si>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</si>
  <si>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</si>
  <si>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</si>
  <si>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</si>
  <si>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</si>
  <si>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</si>
  <si>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</si>
  <si>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</si>
  <si>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</si>
  <si>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</si>
  <si>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</si>
  <si>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</si>
  <si>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</si>
  <si>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</si>
  <si>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</si>
  <si>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</si>
  <si>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</si>
  <si>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</si>
  <si>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</si>
  <si>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</si>
  <si>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</si>
  <si>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</si>
  <si>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</si>
  <si>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</si>
  <si>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</si>
  <si>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</si>
  <si>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</si>
  <si>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</si>
  <si>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</si>
  <si>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</si>
  <si>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</si>
  <si>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</si>
  <si>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</si>
  <si>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</si>
  <si>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</si>
  <si>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</si>
  <si>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</si>
  <si>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</si>
  <si>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</si>
  <si>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</si>
  <si>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</si>
  <si>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</si>
  <si>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</si>
  <si>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</si>
  <si>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</si>
  <si>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</si>
  <si>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</si>
  <si>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</si>
  <si>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</si>
  <si>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</si>
  <si>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</si>
  <si>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</si>
  <si>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</si>
  <si>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</si>
  <si>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</si>
  <si>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</si>
  <si>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</si>
  <si>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</si>
  <si>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</si>
  <si>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</si>
  <si>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</si>
  <si>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</si>
  <si>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</si>
  <si>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</si>
  <si>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</si>
  <si>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</si>
  <si>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</si>
  <si>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</si>
  <si>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</si>
  <si>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</si>
  <si>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</si>
  <si>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</si>
  <si>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</si>
  <si>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</si>
  <si>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</si>
  <si>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</si>
  <si>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</si>
  <si>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</si>
  <si>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</si>
  <si>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</si>
  <si>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</si>
  <si>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</si>
  <si>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</si>
  <si>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</si>
  <si>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</si>
  <si>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</si>
  <si>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</si>
  <si>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</si>
  <si>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</si>
  <si>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</si>
  <si>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</si>
  <si>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</si>
  <si>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</si>
  <si>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</si>
  <si>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</si>
  <si>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</si>
  <si>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</si>
  <si>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</si>
  <si>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</si>
  <si>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</si>
  <si>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</si>
  <si>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</si>
  <si>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</si>
  <si>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</si>
  <si>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</si>
  <si>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</si>
  <si>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</si>
  <si>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</si>
  <si>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</si>
  <si>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</si>
  <si>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</si>
  <si>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</si>
  <si>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</si>
  <si>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</si>
  <si>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</si>
  <si>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</si>
  <si>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</si>
  <si>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</si>
  <si>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</si>
  <si>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</si>
  <si>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</si>
  <si>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</si>
  <si>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</si>
  <si>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</si>
  <si>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</si>
  <si>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</si>
  <si>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</si>
  <si>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</si>
  <si>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</si>
  <si>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</si>
  <si>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</si>
  <si>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</si>
  <si>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</si>
  <si>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</si>
  <si>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</si>
  <si>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</si>
  <si>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</si>
  <si>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</si>
  <si>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</si>
  <si>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</si>
  <si>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</si>
  <si>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</si>
  <si>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</si>
  <si>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</si>
  <si>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</si>
  <si>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</si>
  <si>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</si>
  <si>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</si>
  <si>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</si>
  <si>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</si>
  <si>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</si>
  <si>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</si>
  <si>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</si>
  <si>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</si>
  <si>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</si>
  <si>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</si>
  <si>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</si>
  <si>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</si>
  <si>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</si>
  <si>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</si>
  <si>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</si>
  <si>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</si>
  <si>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</si>
  <si>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</si>
  <si>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</si>
  <si>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</si>
  <si>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</si>
  <si>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</si>
  <si>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</si>
  <si>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</si>
  <si>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</si>
  <si>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</si>
  <si>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</si>
  <si>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</si>
  <si>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</si>
  <si>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</si>
  <si>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</si>
  <si>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</si>
  <si>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</si>
  <si>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</si>
  <si>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</si>
  <si>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</si>
  <si>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</si>
  <si>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</si>
  <si>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</si>
  <si>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</si>
  <si>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</si>
  <si>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</si>
  <si>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</si>
  <si>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</si>
  <si>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</si>
  <si>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</si>
  <si>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</si>
  <si>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</si>
  <si>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</si>
  <si>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</si>
  <si>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</si>
  <si>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</si>
  <si>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</si>
  <si>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</si>
  <si>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</si>
  <si>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</si>
  <si>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</si>
  <si>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</si>
  <si>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</si>
  <si>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</si>
  <si>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</si>
  <si>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</si>
  <si>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</si>
  <si>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</si>
  <si>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</si>
  <si>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</si>
  <si>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</si>
  <si>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</si>
  <si>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</si>
  <si>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</si>
  <si>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</si>
  <si>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</si>
  <si>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</si>
  <si>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</si>
  <si>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</si>
  <si>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</si>
  <si>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</si>
  <si>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</si>
  <si>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</si>
  <si>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</si>
  <si>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</si>
  <si>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</si>
  <si>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</si>
  <si>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</si>
  <si>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</si>
  <si>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</si>
  <si>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</si>
  <si>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</si>
  <si>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</si>
  <si>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</si>
  <si>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</si>
  <si>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</si>
  <si>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</si>
  <si>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</si>
  <si>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</si>
  <si>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(blank)</t>
  </si>
  <si>
    <t>Grand Total</t>
  </si>
  <si>
    <t>Count of TotalPrice</t>
  </si>
  <si>
    <t>&lt;1/1/2023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</si>
  <si>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</si>
  <si>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</si>
  <si>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</si>
  <si>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</si>
  <si>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</si>
  <si>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</si>
  <si>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</si>
  <si>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</si>
  <si>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</si>
  <si>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</si>
  <si>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</si>
  <si>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</si>
  <si>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</si>
  <si>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</si>
  <si>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</si>
  <si>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 xml:space="preserve"> </t>
  </si>
  <si>
    <t>VARIABLE</t>
  </si>
  <si>
    <t>COUNT</t>
  </si>
  <si>
    <t>MEAN</t>
  </si>
  <si>
    <t>MEDIAN</t>
  </si>
  <si>
    <t>QUANTITY</t>
  </si>
  <si>
    <t>UNITPRICE</t>
  </si>
  <si>
    <t>ITEMSCSRT</t>
  </si>
  <si>
    <t>TOTALPRICE</t>
  </si>
  <si>
    <t>Q1</t>
  </si>
  <si>
    <t>Q3</t>
  </si>
  <si>
    <t>IQR</t>
  </si>
  <si>
    <t>LOWER BOUND</t>
  </si>
  <si>
    <t>UPPERBOUND</t>
  </si>
  <si>
    <t>OUTLIER STATUS</t>
  </si>
  <si>
    <r>
      <rPr>
        <b/>
        <sz val="11"/>
        <color theme="1"/>
        <rFont val="Calibri"/>
        <family val="2"/>
        <scheme val="minor"/>
      </rPr>
      <t xml:space="preserve">Observation : </t>
    </r>
    <r>
      <rPr>
        <sz val="11"/>
        <color theme="1"/>
        <rFont val="Calibri"/>
        <family val="2"/>
        <scheme val="minor"/>
      </rPr>
      <t>data set contains 1201 customers ordrers between 2025-2023</t>
    </r>
  </si>
  <si>
    <t>2.Average customer purchase approximetely 3 items per transaction</t>
  </si>
  <si>
    <t xml:space="preserve">3.Only 8 outlierwere detected in totalprice variable suggesting most transaction fall within normal </t>
  </si>
  <si>
    <t>4.Instagram is the leading refaral source</t>
  </si>
  <si>
    <t>5.Online payment is te most frequent payment</t>
  </si>
  <si>
    <r>
      <rPr>
        <b/>
        <sz val="11"/>
        <color theme="1"/>
        <rFont val="Calibri"/>
        <family val="2"/>
        <scheme val="minor"/>
      </rPr>
      <t>CONLUSION :</t>
    </r>
    <r>
      <rPr>
        <sz val="11"/>
        <color theme="1"/>
        <rFont val="Calibri"/>
        <family val="2"/>
        <scheme val="minor"/>
      </rPr>
      <t xml:space="preserve">Customers purchasing behaviour is relatively consistent with an average of 3 items purcaed per order </t>
    </r>
  </si>
  <si>
    <t>most transaction   fall within normal price ranges although  few  high  value orders  create  outliers in TotalPrice</t>
  </si>
  <si>
    <t>Instagram is the most effective referals channels  and online payment method .these insighit  can help management improve  marketing  strategies  customers experience and sales performance</t>
  </si>
</sst>
</file>

<file path=xl/styles.xml><?xml version="1.0" encoding="utf-8"?>
<styleSheet xmlns="http://schemas.openxmlformats.org/spreadsheetml/2006/main">
  <numFmts count="3">
    <numFmt numFmtId="164" formatCode="m/d/yyyy;@"/>
    <numFmt numFmtId="165" formatCode="&quot;$&quot;#,##0.00;[Red]&quot;$&quot;#,##0.00"/>
    <numFmt numFmtId="167" formatCode="#,##0.00;[Red]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5" fontId="1" fillId="0" borderId="0" xfId="0" applyNumberFormat="1" applyFont="1" applyBorder="1" applyAlignment="1">
      <alignment horizontal="center" vertical="top"/>
    </xf>
    <xf numFmtId="0" fontId="1" fillId="0" borderId="0" xfId="0" applyFont="1"/>
    <xf numFmtId="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[Dataset for Data Analytics clean data.xlsx]Sheet4!PivotTable3</c:name>
    <c:fmtId val="0"/>
  </c:pivotSource>
  <c:chart>
    <c:title>
      <c:layout/>
    </c:title>
    <c:pivotFmts>
      <c:pivotFmt>
        <c:idx val="0"/>
      </c:pivotFmt>
      <c:pivotFmt>
        <c:idx val="1"/>
      </c:pivotFmt>
    </c:pivotFmts>
    <c:plotArea>
      <c:layout/>
      <c:lineChart>
        <c:grouping val="stack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multiLvlStrRef>
              <c:f>Sheet4!$A$4:$A$39</c:f>
              <c:multiLvlStrCache>
                <c:ptCount val="31"/>
                <c:lvl>
                  <c:pt idx="0">
                    <c:v>(blank)</c:v>
                  </c:pt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</c:lvl>
                <c:lvl>
                  <c:pt idx="0">
                    <c:v>&lt;1/1/2023</c:v>
                  </c:pt>
                  <c:pt idx="1">
                    <c:v>2023</c:v>
                  </c:pt>
                  <c:pt idx="13">
                    <c:v>2024</c:v>
                  </c:pt>
                  <c:pt idx="25">
                    <c:v>2025</c:v>
                  </c:pt>
                </c:lvl>
              </c:multiLvlStrCache>
            </c:multiLvlStrRef>
          </c:cat>
          <c:val>
            <c:numRef>
              <c:f>Sheet4!$B$4:$B$39</c:f>
              <c:numCache>
                <c:formatCode>General</c:formatCode>
                <c:ptCount val="31"/>
                <c:pt idx="1">
                  <c:v>47</c:v>
                </c:pt>
                <c:pt idx="2">
                  <c:v>37</c:v>
                </c:pt>
                <c:pt idx="3">
                  <c:v>43</c:v>
                </c:pt>
                <c:pt idx="4">
                  <c:v>31</c:v>
                </c:pt>
                <c:pt idx="5">
                  <c:v>49</c:v>
                </c:pt>
                <c:pt idx="6">
                  <c:v>45</c:v>
                </c:pt>
                <c:pt idx="7">
                  <c:v>44</c:v>
                </c:pt>
                <c:pt idx="8">
                  <c:v>51</c:v>
                </c:pt>
                <c:pt idx="9">
                  <c:v>29</c:v>
                </c:pt>
                <c:pt idx="10">
                  <c:v>47</c:v>
                </c:pt>
                <c:pt idx="11">
                  <c:v>41</c:v>
                </c:pt>
                <c:pt idx="12">
                  <c:v>46</c:v>
                </c:pt>
                <c:pt idx="13">
                  <c:v>32</c:v>
                </c:pt>
                <c:pt idx="14">
                  <c:v>32</c:v>
                </c:pt>
                <c:pt idx="15">
                  <c:v>36</c:v>
                </c:pt>
                <c:pt idx="16">
                  <c:v>50</c:v>
                </c:pt>
                <c:pt idx="17">
                  <c:v>34</c:v>
                </c:pt>
                <c:pt idx="18">
                  <c:v>53</c:v>
                </c:pt>
                <c:pt idx="19">
                  <c:v>43</c:v>
                </c:pt>
                <c:pt idx="20">
                  <c:v>28</c:v>
                </c:pt>
                <c:pt idx="21">
                  <c:v>44</c:v>
                </c:pt>
                <c:pt idx="22">
                  <c:v>31</c:v>
                </c:pt>
                <c:pt idx="23">
                  <c:v>35</c:v>
                </c:pt>
                <c:pt idx="24">
                  <c:v>41</c:v>
                </c:pt>
                <c:pt idx="25">
                  <c:v>27</c:v>
                </c:pt>
                <c:pt idx="26">
                  <c:v>37</c:v>
                </c:pt>
                <c:pt idx="27">
                  <c:v>49</c:v>
                </c:pt>
                <c:pt idx="28">
                  <c:v>32</c:v>
                </c:pt>
                <c:pt idx="29">
                  <c:v>37</c:v>
                </c:pt>
                <c:pt idx="30">
                  <c:v>49</c:v>
                </c:pt>
              </c:numCache>
            </c:numRef>
          </c:val>
        </c:ser>
        <c:dLbls/>
        <c:marker val="1"/>
        <c:axId val="102034048"/>
        <c:axId val="100336000"/>
      </c:lineChart>
      <c:catAx>
        <c:axId val="102034048"/>
        <c:scaling>
          <c:orientation val="minMax"/>
        </c:scaling>
        <c:axPos val="b"/>
        <c:majorTickMark val="none"/>
        <c:tickLblPos val="nextTo"/>
        <c:crossAx val="100336000"/>
        <c:crosses val="autoZero"/>
        <c:auto val="1"/>
        <c:lblAlgn val="ctr"/>
        <c:lblOffset val="100"/>
      </c:catAx>
      <c:valAx>
        <c:axId val="100336000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0203404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8</xdr:row>
      <xdr:rowOff>121920</xdr:rowOff>
    </xdr:from>
    <xdr:to>
      <xdr:col>14</xdr:col>
      <xdr:colOff>518160</xdr:colOff>
      <xdr:row>23</xdr:row>
      <xdr:rowOff>121920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ege gatugi" refreshedDate="46187.862250694445" createdVersion="3" refreshedVersion="3" minRefreshableVersion="3" recordCount="1201">
  <cacheSource type="worksheet">
    <worksheetSource ref="A1:N1048576" sheet="Sheet1"/>
  </cacheSource>
  <cacheFields count="15">
    <cacheField name="OrderID" numFmtId="0">
      <sharedItems containsBlank="1"/>
    </cacheField>
    <cacheField name="Date" numFmtId="164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4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165">
      <sharedItems containsString="0" containsBlank="1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m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m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m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m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m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m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m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m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m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m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m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m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m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m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m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m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m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m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m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m/>
    <s v="Facebook"/>
    <n v="1733.8"/>
  </r>
  <r>
    <s v="ORD200074"/>
    <x v="72"/>
    <s v="C25382"/>
    <s v="Phone"/>
    <n v="5"/>
    <n v="90.87"/>
    <s v="622 Main St"/>
    <s v="Cash"/>
    <s v="Pending"/>
    <s v="TRK64691287"/>
    <n v="5"/>
    <m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m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m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m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m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m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m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m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m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m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m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m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m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m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m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m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m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m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m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m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m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m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m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m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m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m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m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m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m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m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m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m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m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m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m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m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m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m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m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m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m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m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m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m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m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m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m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m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m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m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m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m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m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m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m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m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m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m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m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m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m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m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m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m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m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m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m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m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m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m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m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m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m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m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m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m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m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m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m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m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m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m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m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m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m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m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m/>
    <s v="Email"/>
    <n v="1036.46"/>
  </r>
  <r>
    <s v="ORD200411"/>
    <x v="83"/>
    <s v="C66567"/>
    <s v="Desk"/>
    <n v="2"/>
    <n v="39.51"/>
    <s v="981 Main St"/>
    <s v="Online"/>
    <s v="Shipped"/>
    <s v="TRK21174822"/>
    <n v="5"/>
    <m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m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m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m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m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m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m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m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m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m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m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m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m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m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m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m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m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m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m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m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m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m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m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m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m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m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m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m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m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m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m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m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m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m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m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m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m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m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m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m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m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m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m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m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m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m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m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m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m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m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m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m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m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m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m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m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m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m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m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m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m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m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m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m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m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m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m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m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m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m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m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m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m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m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m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m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m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m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m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m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m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m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m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m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m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m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m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m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m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m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m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m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m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m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m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m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m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m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m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m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m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m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m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m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m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m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m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m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m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m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m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m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m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m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m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m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m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m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m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m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m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m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m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m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m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m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m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m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m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m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m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m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m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m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m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m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m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m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m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m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m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m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m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m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m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m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m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m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m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m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m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m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m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m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m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m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m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m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m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m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m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m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m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m/>
    <s v="Email"/>
    <n v="1965.16"/>
  </r>
  <r>
    <s v="ORD201071"/>
    <x v="53"/>
    <s v="C94037"/>
    <s v="Phone"/>
    <n v="2"/>
    <n v="255.14"/>
    <s v="216 Main St"/>
    <s v="Cash"/>
    <s v="Shipped"/>
    <s v="TRK47536985"/>
    <n v="2"/>
    <m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m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m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m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m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m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m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m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m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m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m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m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m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m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m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m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m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m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m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m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m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m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m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m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m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m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m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m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m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m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m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m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m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m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m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m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m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m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  <r>
    <m/>
    <x v="67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39" firstHeaderRow="1" firstDataRow="1" firstDataCol="1"/>
  <pivotFields count="15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"/>
  </rowFields>
  <rowItems count="36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Count of TotalPrice" fld="1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Q39"/>
  <sheetViews>
    <sheetView tabSelected="1" topLeftCell="F1" workbookViewId="0">
      <selection activeCell="R16" sqref="R16"/>
    </sheetView>
  </sheetViews>
  <sheetFormatPr defaultRowHeight="14.4"/>
  <cols>
    <col min="1" max="1" width="12.77734375" bestFit="1" customWidth="1"/>
    <col min="2" max="2" width="17.33203125" bestFit="1" customWidth="1"/>
  </cols>
  <sheetData>
    <row r="3" spans="1:17">
      <c r="A3" s="7" t="s">
        <v>4283</v>
      </c>
      <c r="B3" t="s">
        <v>4286</v>
      </c>
      <c r="C3" s="12"/>
    </row>
    <row r="4" spans="1:17">
      <c r="A4" s="8" t="s">
        <v>4287</v>
      </c>
      <c r="B4" s="9"/>
      <c r="Q4" t="s">
        <v>4318</v>
      </c>
    </row>
    <row r="5" spans="1:17">
      <c r="A5" s="10" t="s">
        <v>4284</v>
      </c>
      <c r="B5" s="9"/>
      <c r="Q5" t="s">
        <v>4319</v>
      </c>
    </row>
    <row r="6" spans="1:17">
      <c r="A6" s="8" t="s">
        <v>4288</v>
      </c>
      <c r="B6" s="9"/>
      <c r="Q6" t="s">
        <v>4320</v>
      </c>
    </row>
    <row r="7" spans="1:17">
      <c r="A7" s="10" t="s">
        <v>4289</v>
      </c>
      <c r="B7" s="9">
        <v>47</v>
      </c>
      <c r="Q7" t="s">
        <v>4321</v>
      </c>
    </row>
    <row r="8" spans="1:17">
      <c r="A8" s="10" t="s">
        <v>4290</v>
      </c>
      <c r="B8" s="9">
        <v>37</v>
      </c>
      <c r="Q8" t="s">
        <v>4322</v>
      </c>
    </row>
    <row r="9" spans="1:17">
      <c r="A9" s="10" t="s">
        <v>4291</v>
      </c>
      <c r="B9" s="9">
        <v>43</v>
      </c>
    </row>
    <row r="10" spans="1:17">
      <c r="A10" s="10" t="s">
        <v>4292</v>
      </c>
      <c r="B10" s="9">
        <v>31</v>
      </c>
    </row>
    <row r="11" spans="1:17">
      <c r="A11" s="10" t="s">
        <v>4293</v>
      </c>
      <c r="B11" s="9">
        <v>49</v>
      </c>
      <c r="Q11" t="s">
        <v>4323</v>
      </c>
    </row>
    <row r="12" spans="1:17">
      <c r="A12" s="10" t="s">
        <v>4294</v>
      </c>
      <c r="B12" s="9">
        <v>45</v>
      </c>
      <c r="Q12" t="s">
        <v>4324</v>
      </c>
    </row>
    <row r="13" spans="1:17">
      <c r="A13" s="10" t="s">
        <v>4295</v>
      </c>
      <c r="B13" s="9">
        <v>44</v>
      </c>
    </row>
    <row r="14" spans="1:17">
      <c r="A14" s="10" t="s">
        <v>4296</v>
      </c>
      <c r="B14" s="9">
        <v>51</v>
      </c>
      <c r="Q14" t="s">
        <v>4325</v>
      </c>
    </row>
    <row r="15" spans="1:17">
      <c r="A15" s="10" t="s">
        <v>4297</v>
      </c>
      <c r="B15" s="9">
        <v>29</v>
      </c>
      <c r="Q15" t="s">
        <v>4303</v>
      </c>
    </row>
    <row r="16" spans="1:17">
      <c r="A16" s="10" t="s">
        <v>4298</v>
      </c>
      <c r="B16" s="9">
        <v>47</v>
      </c>
    </row>
    <row r="17" spans="1:2">
      <c r="A17" s="10" t="s">
        <v>4299</v>
      </c>
      <c r="B17" s="9">
        <v>41</v>
      </c>
    </row>
    <row r="18" spans="1:2">
      <c r="A18" s="10" t="s">
        <v>4300</v>
      </c>
      <c r="B18" s="9">
        <v>46</v>
      </c>
    </row>
    <row r="19" spans="1:2">
      <c r="A19" s="8" t="s">
        <v>4301</v>
      </c>
      <c r="B19" s="9"/>
    </row>
    <row r="20" spans="1:2">
      <c r="A20" s="10" t="s">
        <v>4289</v>
      </c>
      <c r="B20" s="9">
        <v>32</v>
      </c>
    </row>
    <row r="21" spans="1:2">
      <c r="A21" s="10" t="s">
        <v>4290</v>
      </c>
      <c r="B21" s="9">
        <v>32</v>
      </c>
    </row>
    <row r="22" spans="1:2">
      <c r="A22" s="10" t="s">
        <v>4291</v>
      </c>
      <c r="B22" s="9">
        <v>36</v>
      </c>
    </row>
    <row r="23" spans="1:2">
      <c r="A23" s="10" t="s">
        <v>4292</v>
      </c>
      <c r="B23" s="9">
        <v>50</v>
      </c>
    </row>
    <row r="24" spans="1:2">
      <c r="A24" s="10" t="s">
        <v>4293</v>
      </c>
      <c r="B24" s="9">
        <v>34</v>
      </c>
    </row>
    <row r="25" spans="1:2">
      <c r="A25" s="10" t="s">
        <v>4294</v>
      </c>
      <c r="B25" s="9">
        <v>53</v>
      </c>
    </row>
    <row r="26" spans="1:2">
      <c r="A26" s="10" t="s">
        <v>4295</v>
      </c>
      <c r="B26" s="9">
        <v>43</v>
      </c>
    </row>
    <row r="27" spans="1:2">
      <c r="A27" s="10" t="s">
        <v>4296</v>
      </c>
      <c r="B27" s="9">
        <v>28</v>
      </c>
    </row>
    <row r="28" spans="1:2">
      <c r="A28" s="10" t="s">
        <v>4297</v>
      </c>
      <c r="B28" s="9">
        <v>44</v>
      </c>
    </row>
    <row r="29" spans="1:2">
      <c r="A29" s="10" t="s">
        <v>4298</v>
      </c>
      <c r="B29" s="9">
        <v>31</v>
      </c>
    </row>
    <row r="30" spans="1:2">
      <c r="A30" s="10" t="s">
        <v>4299</v>
      </c>
      <c r="B30" s="9">
        <v>35</v>
      </c>
    </row>
    <row r="31" spans="1:2">
      <c r="A31" s="10" t="s">
        <v>4300</v>
      </c>
      <c r="B31" s="9">
        <v>41</v>
      </c>
    </row>
    <row r="32" spans="1:2">
      <c r="A32" s="8" t="s">
        <v>4302</v>
      </c>
      <c r="B32" s="9"/>
    </row>
    <row r="33" spans="1:2">
      <c r="A33" s="10" t="s">
        <v>4289</v>
      </c>
      <c r="B33" s="9">
        <v>27</v>
      </c>
    </row>
    <row r="34" spans="1:2">
      <c r="A34" s="10" t="s">
        <v>4290</v>
      </c>
      <c r="B34" s="9">
        <v>37</v>
      </c>
    </row>
    <row r="35" spans="1:2">
      <c r="A35" s="10" t="s">
        <v>4291</v>
      </c>
      <c r="B35" s="9">
        <v>49</v>
      </c>
    </row>
    <row r="36" spans="1:2">
      <c r="A36" s="10" t="s">
        <v>4292</v>
      </c>
      <c r="B36" s="9">
        <v>32</v>
      </c>
    </row>
    <row r="37" spans="1:2">
      <c r="A37" s="10" t="s">
        <v>4293</v>
      </c>
      <c r="B37" s="9">
        <v>37</v>
      </c>
    </row>
    <row r="38" spans="1:2">
      <c r="A38" s="10" t="s">
        <v>4294</v>
      </c>
      <c r="B38" s="9">
        <v>49</v>
      </c>
    </row>
    <row r="39" spans="1:2">
      <c r="A39" s="8" t="s">
        <v>4285</v>
      </c>
      <c r="B39" s="9">
        <v>1200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08"/>
  <sheetViews>
    <sheetView workbookViewId="0">
      <pane ySplit="1" topLeftCell="A1195" activePane="bottomLeft" state="frozen"/>
      <selection pane="bottomLeft" activeCell="F1212" sqref="F1212"/>
    </sheetView>
  </sheetViews>
  <sheetFormatPr defaultRowHeight="14.4"/>
  <cols>
    <col min="1" max="1" width="10.6640625" bestFit="1" customWidth="1"/>
    <col min="2" max="2" width="10.5546875" style="3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style="6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style="6" bestFit="1" customWidth="1"/>
    <col min="15" max="15" width="15.33203125" style="6" customWidth="1"/>
    <col min="16" max="16" width="15.21875" style="6" customWidth="1"/>
  </cols>
  <sheetData>
    <row r="1" spans="1:1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1" t="s">
        <v>4317</v>
      </c>
      <c r="P1" s="11"/>
    </row>
    <row r="2" spans="1:17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  <c r="O2" s="6" t="str">
        <f>IF(OR(N2&lt;$P$10,N2&gt;$P$13),"Outlier","Normal")</f>
        <v>Normal</v>
      </c>
      <c r="P2" s="14">
        <f>QUARTILE(N2:N1201,1)</f>
        <v>410.52</v>
      </c>
      <c r="Q2" t="s">
        <v>4312</v>
      </c>
    </row>
    <row r="3" spans="1:17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  <c r="O3" s="6" t="str">
        <f t="shared" ref="O3:O66" si="0">IF(OR(N3&lt;$P$10,N3&gt;$P$13),"Outlier","Normal")</f>
        <v>Normal</v>
      </c>
    </row>
    <row r="4" spans="1:17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  <c r="O4" s="6" t="str">
        <f t="shared" si="0"/>
        <v>Normal</v>
      </c>
    </row>
    <row r="5" spans="1:17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  <c r="O5" s="6" t="str">
        <f t="shared" si="0"/>
        <v>Normal</v>
      </c>
      <c r="P5" s="14">
        <f>QUARTILE(N1:N1201,3)</f>
        <v>1578.4749999999999</v>
      </c>
      <c r="Q5" t="s">
        <v>4313</v>
      </c>
    </row>
    <row r="6" spans="1:17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  <c r="O6" s="6" t="str">
        <f t="shared" si="0"/>
        <v>Normal</v>
      </c>
    </row>
    <row r="7" spans="1:17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  <c r="O7" s="6" t="str">
        <f t="shared" si="0"/>
        <v>Normal</v>
      </c>
      <c r="P7" s="14">
        <f>P5 - P2</f>
        <v>1167.9549999999999</v>
      </c>
      <c r="Q7" t="s">
        <v>4314</v>
      </c>
    </row>
    <row r="8" spans="1:17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  <c r="O8" s="6" t="str">
        <f t="shared" si="0"/>
        <v>Normal</v>
      </c>
    </row>
    <row r="9" spans="1:17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  <c r="O9" s="6" t="str">
        <f t="shared" si="0"/>
        <v>Normal</v>
      </c>
    </row>
    <row r="10" spans="1:17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s="4"/>
      <c r="M10" t="s">
        <v>4280</v>
      </c>
      <c r="N10" s="6">
        <v>268.56</v>
      </c>
      <c r="O10" s="6" t="str">
        <f t="shared" si="0"/>
        <v>Normal</v>
      </c>
      <c r="P10" s="13">
        <f>P2-1.5*P7</f>
        <v>-1341.4124999999999</v>
      </c>
      <c r="Q10" t="s">
        <v>4315</v>
      </c>
    </row>
    <row r="11" spans="1:17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  <c r="O11" s="6" t="str">
        <f t="shared" si="0"/>
        <v>Normal</v>
      </c>
    </row>
    <row r="12" spans="1:17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  <c r="O12" s="6" t="str">
        <f t="shared" si="0"/>
        <v>Normal</v>
      </c>
    </row>
    <row r="13" spans="1:17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  <c r="O13" s="6" t="str">
        <f t="shared" si="0"/>
        <v>Normal</v>
      </c>
      <c r="P13" s="14">
        <f>P5+1.5*P7</f>
        <v>3330.4074999999998</v>
      </c>
      <c r="Q13" t="s">
        <v>4316</v>
      </c>
    </row>
    <row r="14" spans="1:17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  <c r="O14" s="6" t="str">
        <f t="shared" si="0"/>
        <v>Normal</v>
      </c>
    </row>
    <row r="15" spans="1:17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  <c r="O15" s="6" t="str">
        <f t="shared" si="0"/>
        <v>Normal</v>
      </c>
    </row>
    <row r="16" spans="1:17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  <c r="O16" s="6" t="str">
        <f t="shared" si="0"/>
        <v>Normal</v>
      </c>
    </row>
    <row r="17" spans="1:1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s="4"/>
      <c r="M17" t="s">
        <v>4282</v>
      </c>
      <c r="N17" s="6">
        <v>473.96</v>
      </c>
      <c r="O17" s="6" t="str">
        <f t="shared" si="0"/>
        <v>Normal</v>
      </c>
    </row>
    <row r="18" spans="1:1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  <c r="O18" s="6" t="str">
        <f t="shared" si="0"/>
        <v>Normal</v>
      </c>
    </row>
    <row r="19" spans="1:1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s="4"/>
      <c r="M19" t="s">
        <v>4279</v>
      </c>
      <c r="N19" s="6">
        <v>423.4</v>
      </c>
      <c r="O19" s="6" t="str">
        <f t="shared" si="0"/>
        <v>Normal</v>
      </c>
    </row>
    <row r="20" spans="1:1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  <c r="O20" s="6" t="str">
        <f t="shared" si="0"/>
        <v>Normal</v>
      </c>
    </row>
    <row r="21" spans="1:1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  <c r="O21" s="6" t="str">
        <f t="shared" si="0"/>
        <v>Normal</v>
      </c>
    </row>
    <row r="22" spans="1:1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  <c r="O22" s="6" t="str">
        <f t="shared" si="0"/>
        <v>Normal</v>
      </c>
    </row>
    <row r="23" spans="1:1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s="4"/>
      <c r="M23" t="s">
        <v>4282</v>
      </c>
      <c r="N23" s="6">
        <v>1371.8</v>
      </c>
      <c r="O23" s="6" t="str">
        <f t="shared" si="0"/>
        <v>Normal</v>
      </c>
    </row>
    <row r="24" spans="1:1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  <c r="O24" s="6" t="str">
        <f t="shared" si="0"/>
        <v>Normal</v>
      </c>
    </row>
    <row r="25" spans="1:1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  <c r="O25" s="6" t="str">
        <f t="shared" si="0"/>
        <v>Normal</v>
      </c>
    </row>
    <row r="26" spans="1:1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  <c r="O26" s="6" t="str">
        <f t="shared" si="0"/>
        <v>Normal</v>
      </c>
    </row>
    <row r="27" spans="1:1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  <c r="O27" s="6" t="str">
        <f t="shared" si="0"/>
        <v>Normal</v>
      </c>
    </row>
    <row r="28" spans="1:1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s="4"/>
      <c r="M28" t="s">
        <v>4279</v>
      </c>
      <c r="N28" s="6">
        <v>297.75</v>
      </c>
      <c r="O28" s="6" t="str">
        <f t="shared" si="0"/>
        <v>Normal</v>
      </c>
    </row>
    <row r="29" spans="1:1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  <c r="O29" s="6" t="str">
        <f t="shared" si="0"/>
        <v>Normal</v>
      </c>
    </row>
    <row r="30" spans="1:1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s="4"/>
      <c r="M30" t="s">
        <v>4280</v>
      </c>
      <c r="N30" s="6">
        <v>640.28</v>
      </c>
      <c r="O30" s="6" t="str">
        <f t="shared" si="0"/>
        <v>Normal</v>
      </c>
    </row>
    <row r="31" spans="1:1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  <c r="O31" s="6" t="str">
        <f t="shared" si="0"/>
        <v>Normal</v>
      </c>
    </row>
    <row r="32" spans="1:1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  <c r="O32" s="6" t="str">
        <f t="shared" si="0"/>
        <v>Normal</v>
      </c>
    </row>
    <row r="33" spans="1:1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s="4"/>
      <c r="M33" t="s">
        <v>4281</v>
      </c>
      <c r="N33" s="6">
        <v>1500.24</v>
      </c>
      <c r="O33" s="6" t="str">
        <f t="shared" si="0"/>
        <v>Normal</v>
      </c>
    </row>
    <row r="34" spans="1:1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s="4"/>
      <c r="M34" t="s">
        <v>4280</v>
      </c>
      <c r="N34" s="6">
        <v>2683.6</v>
      </c>
      <c r="O34" s="6" t="str">
        <f t="shared" si="0"/>
        <v>Normal</v>
      </c>
    </row>
    <row r="35" spans="1:1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  <c r="O35" s="6" t="str">
        <f t="shared" si="0"/>
        <v>Normal</v>
      </c>
    </row>
    <row r="36" spans="1:1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  <c r="O36" s="6" t="str">
        <f t="shared" si="0"/>
        <v>Normal</v>
      </c>
    </row>
    <row r="37" spans="1:1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  <c r="O37" s="6" t="str">
        <f t="shared" si="0"/>
        <v>Normal</v>
      </c>
    </row>
    <row r="38" spans="1:1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s="4"/>
      <c r="M38" t="s">
        <v>4281</v>
      </c>
      <c r="N38" s="6">
        <v>1068.8599999999999</v>
      </c>
      <c r="O38" s="6" t="str">
        <f t="shared" si="0"/>
        <v>Normal</v>
      </c>
    </row>
    <row r="39" spans="1:1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  <c r="O39" s="6" t="str">
        <f t="shared" si="0"/>
        <v>Normal</v>
      </c>
    </row>
    <row r="40" spans="1:1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  <c r="O40" s="6" t="str">
        <f t="shared" si="0"/>
        <v>Normal</v>
      </c>
    </row>
    <row r="41" spans="1:1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  <c r="O41" s="6" t="str">
        <f t="shared" si="0"/>
        <v>Normal</v>
      </c>
    </row>
    <row r="42" spans="1:1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  <c r="O42" s="6" t="str">
        <f t="shared" si="0"/>
        <v>Normal</v>
      </c>
    </row>
    <row r="43" spans="1:1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  <c r="O43" s="6" t="str">
        <f t="shared" si="0"/>
        <v>Normal</v>
      </c>
    </row>
    <row r="44" spans="1:1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s="4"/>
      <c r="M44" t="s">
        <v>4278</v>
      </c>
      <c r="N44" s="6">
        <v>303.32</v>
      </c>
      <c r="O44" s="6" t="str">
        <f t="shared" si="0"/>
        <v>Normal</v>
      </c>
    </row>
    <row r="45" spans="1:1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s="4"/>
      <c r="M45" t="s">
        <v>4278</v>
      </c>
      <c r="N45" s="6">
        <v>1497.63</v>
      </c>
      <c r="O45" s="6" t="str">
        <f t="shared" si="0"/>
        <v>Normal</v>
      </c>
    </row>
    <row r="46" spans="1:1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  <c r="O46" s="6" t="str">
        <f t="shared" si="0"/>
        <v>Normal</v>
      </c>
    </row>
    <row r="47" spans="1:1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  <c r="O47" s="6" t="str">
        <f t="shared" si="0"/>
        <v>Normal</v>
      </c>
    </row>
    <row r="48" spans="1:1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  <c r="O48" s="6" t="str">
        <f t="shared" si="0"/>
        <v>Normal</v>
      </c>
    </row>
    <row r="49" spans="1:1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  <c r="O49" s="6" t="str">
        <f t="shared" si="0"/>
        <v>Normal</v>
      </c>
    </row>
    <row r="50" spans="1:1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s="4"/>
      <c r="M50" t="s">
        <v>4282</v>
      </c>
      <c r="N50" s="6">
        <v>161.54</v>
      </c>
      <c r="O50" s="6" t="str">
        <f t="shared" si="0"/>
        <v>Normal</v>
      </c>
    </row>
    <row r="51" spans="1:1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  <c r="O51" s="6" t="str">
        <f t="shared" si="0"/>
        <v>Normal</v>
      </c>
    </row>
    <row r="52" spans="1:1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  <c r="O52" s="6" t="str">
        <f t="shared" si="0"/>
        <v>Normal</v>
      </c>
    </row>
    <row r="53" spans="1:1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  <c r="O53" s="6" t="str">
        <f t="shared" si="0"/>
        <v>Normal</v>
      </c>
    </row>
    <row r="54" spans="1:1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  <c r="O54" s="6" t="str">
        <f t="shared" si="0"/>
        <v>Normal</v>
      </c>
    </row>
    <row r="55" spans="1:1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  <c r="O55" s="6" t="str">
        <f t="shared" si="0"/>
        <v>Normal</v>
      </c>
    </row>
    <row r="56" spans="1:1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  <c r="O56" s="6" t="str">
        <f t="shared" si="0"/>
        <v>Normal</v>
      </c>
    </row>
    <row r="57" spans="1:1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s="4"/>
      <c r="M57" t="s">
        <v>4281</v>
      </c>
      <c r="N57" s="6">
        <v>1033.2</v>
      </c>
      <c r="O57" s="6" t="str">
        <f t="shared" si="0"/>
        <v>Normal</v>
      </c>
    </row>
    <row r="58" spans="1:1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  <c r="O58" s="6" t="str">
        <f t="shared" si="0"/>
        <v>Normal</v>
      </c>
    </row>
    <row r="59" spans="1:1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  <c r="O59" s="6" t="str">
        <f t="shared" si="0"/>
        <v>Normal</v>
      </c>
    </row>
    <row r="60" spans="1:1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  <c r="O60" s="6" t="str">
        <f t="shared" si="0"/>
        <v>Normal</v>
      </c>
    </row>
    <row r="61" spans="1:1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s="4"/>
      <c r="M61" t="s">
        <v>4281</v>
      </c>
      <c r="N61" s="6">
        <v>2373.08</v>
      </c>
      <c r="O61" s="6" t="str">
        <f t="shared" si="0"/>
        <v>Normal</v>
      </c>
    </row>
    <row r="62" spans="1:1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  <c r="O62" s="6" t="str">
        <f t="shared" si="0"/>
        <v>Normal</v>
      </c>
    </row>
    <row r="63" spans="1:1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  <c r="O63" s="6" t="str">
        <f t="shared" si="0"/>
        <v>Normal</v>
      </c>
    </row>
    <row r="64" spans="1:1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  <c r="O64" s="6" t="str">
        <f t="shared" si="0"/>
        <v>Normal</v>
      </c>
    </row>
    <row r="65" spans="1:1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  <c r="O65" s="6" t="str">
        <f t="shared" si="0"/>
        <v>Normal</v>
      </c>
    </row>
    <row r="66" spans="1:1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  <c r="O66" s="6" t="str">
        <f t="shared" si="0"/>
        <v>Normal</v>
      </c>
    </row>
    <row r="67" spans="1:1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s="4"/>
      <c r="M67" t="s">
        <v>4278</v>
      </c>
      <c r="N67" s="6">
        <v>408.5</v>
      </c>
      <c r="O67" s="6" t="str">
        <f t="shared" ref="O67:O130" si="1">IF(OR(N67&lt;$P$10,N67&gt;$P$13),"Outlier","Normal")</f>
        <v>Normal</v>
      </c>
    </row>
    <row r="68" spans="1:1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  <c r="O68" s="6" t="str">
        <f t="shared" si="1"/>
        <v>Normal</v>
      </c>
    </row>
    <row r="69" spans="1:1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s="4"/>
      <c r="M69" t="s">
        <v>4282</v>
      </c>
      <c r="N69" s="6">
        <v>48.4</v>
      </c>
      <c r="O69" s="6" t="str">
        <f t="shared" si="1"/>
        <v>Normal</v>
      </c>
    </row>
    <row r="70" spans="1:1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  <c r="O70" s="6" t="str">
        <f t="shared" si="1"/>
        <v>Normal</v>
      </c>
    </row>
    <row r="71" spans="1:1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s="4"/>
      <c r="M71" t="s">
        <v>4279</v>
      </c>
      <c r="N71" s="6">
        <v>1435.95</v>
      </c>
      <c r="O71" s="6" t="str">
        <f t="shared" si="1"/>
        <v>Normal</v>
      </c>
    </row>
    <row r="72" spans="1:1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  <c r="O72" s="6" t="str">
        <f t="shared" si="1"/>
        <v>Normal</v>
      </c>
    </row>
    <row r="73" spans="1:1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s="4"/>
      <c r="M73" t="s">
        <v>4279</v>
      </c>
      <c r="N73" s="6">
        <v>1303.3499999999999</v>
      </c>
      <c r="O73" s="6" t="str">
        <f t="shared" si="1"/>
        <v>Normal</v>
      </c>
    </row>
    <row r="74" spans="1:1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s="4"/>
      <c r="M74" t="s">
        <v>4281</v>
      </c>
      <c r="N74" s="6">
        <v>2357.7600000000002</v>
      </c>
      <c r="O74" s="6" t="str">
        <f t="shared" si="1"/>
        <v>Normal</v>
      </c>
    </row>
    <row r="75" spans="1:1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s="4"/>
      <c r="M75" t="s">
        <v>4281</v>
      </c>
      <c r="N75" s="6">
        <v>1733.8</v>
      </c>
      <c r="O75" s="6" t="str">
        <f t="shared" si="1"/>
        <v>Normal</v>
      </c>
    </row>
    <row r="76" spans="1:1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s="4"/>
      <c r="M76" t="s">
        <v>4278</v>
      </c>
      <c r="N76" s="6">
        <v>454.35</v>
      </c>
      <c r="O76" s="6" t="str">
        <f t="shared" si="1"/>
        <v>Normal</v>
      </c>
    </row>
    <row r="77" spans="1:1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  <c r="O77" s="6" t="str">
        <f t="shared" si="1"/>
        <v>Normal</v>
      </c>
    </row>
    <row r="78" spans="1:1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  <c r="O78" s="6" t="str">
        <f t="shared" si="1"/>
        <v>Normal</v>
      </c>
    </row>
    <row r="79" spans="1:1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s="4"/>
      <c r="M79" t="s">
        <v>4282</v>
      </c>
      <c r="N79" s="6">
        <v>583.17999999999995</v>
      </c>
      <c r="O79" s="6" t="str">
        <f t="shared" si="1"/>
        <v>Normal</v>
      </c>
    </row>
    <row r="80" spans="1:1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  <c r="O80" s="6" t="str">
        <f t="shared" si="1"/>
        <v>Normal</v>
      </c>
    </row>
    <row r="81" spans="1:1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s="4"/>
      <c r="M81" t="s">
        <v>4281</v>
      </c>
      <c r="N81" s="6">
        <v>623.82000000000005</v>
      </c>
      <c r="O81" s="6" t="str">
        <f t="shared" si="1"/>
        <v>Normal</v>
      </c>
    </row>
    <row r="82" spans="1:1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s="4"/>
      <c r="M82" t="s">
        <v>4281</v>
      </c>
      <c r="N82" s="6">
        <v>1768.68</v>
      </c>
      <c r="O82" s="6" t="str">
        <f t="shared" si="1"/>
        <v>Normal</v>
      </c>
    </row>
    <row r="83" spans="1:1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  <c r="O83" s="6" t="str">
        <f t="shared" si="1"/>
        <v>Normal</v>
      </c>
    </row>
    <row r="84" spans="1:1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  <c r="O84" s="6" t="str">
        <f t="shared" si="1"/>
        <v>Normal</v>
      </c>
    </row>
    <row r="85" spans="1:1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s="4"/>
      <c r="M85" t="s">
        <v>4279</v>
      </c>
      <c r="N85" s="6">
        <v>2161.64</v>
      </c>
      <c r="O85" s="6" t="str">
        <f t="shared" si="1"/>
        <v>Normal</v>
      </c>
    </row>
    <row r="86" spans="1:1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  <c r="O86" s="6" t="str">
        <f t="shared" si="1"/>
        <v>Normal</v>
      </c>
    </row>
    <row r="87" spans="1:1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  <c r="O87" s="6" t="str">
        <f t="shared" si="1"/>
        <v>Normal</v>
      </c>
    </row>
    <row r="88" spans="1:1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  <c r="O88" s="6" t="str">
        <f t="shared" si="1"/>
        <v>Normal</v>
      </c>
    </row>
    <row r="89" spans="1:1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  <c r="O89" s="6" t="str">
        <f t="shared" si="1"/>
        <v>Normal</v>
      </c>
    </row>
    <row r="90" spans="1:1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s="4"/>
      <c r="M90" t="s">
        <v>4282</v>
      </c>
      <c r="N90" s="6">
        <v>344.43</v>
      </c>
      <c r="O90" s="6" t="str">
        <f t="shared" si="1"/>
        <v>Normal</v>
      </c>
    </row>
    <row r="91" spans="1:1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  <c r="O91" s="6" t="str">
        <f t="shared" si="1"/>
        <v>Normal</v>
      </c>
    </row>
    <row r="92" spans="1:1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  <c r="O92" s="6" t="str">
        <f t="shared" si="1"/>
        <v>Normal</v>
      </c>
    </row>
    <row r="93" spans="1:1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  <c r="O93" s="6" t="str">
        <f t="shared" si="1"/>
        <v>Normal</v>
      </c>
    </row>
    <row r="94" spans="1:1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  <c r="O94" s="6" t="str">
        <f t="shared" si="1"/>
        <v>Normal</v>
      </c>
    </row>
    <row r="95" spans="1:1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s="4"/>
      <c r="M95" t="s">
        <v>4279</v>
      </c>
      <c r="N95" s="6">
        <v>1724.04</v>
      </c>
      <c r="O95" s="6" t="str">
        <f t="shared" si="1"/>
        <v>Normal</v>
      </c>
    </row>
    <row r="96" spans="1:1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  <c r="O96" s="6" t="str">
        <f t="shared" si="1"/>
        <v>Normal</v>
      </c>
    </row>
    <row r="97" spans="1:1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s="4"/>
      <c r="M97" t="s">
        <v>4279</v>
      </c>
      <c r="N97" s="6">
        <v>470.04</v>
      </c>
      <c r="O97" s="6" t="str">
        <f t="shared" si="1"/>
        <v>Normal</v>
      </c>
    </row>
    <row r="98" spans="1:1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s="4"/>
      <c r="M98" t="s">
        <v>4278</v>
      </c>
      <c r="N98" s="6">
        <v>465.66</v>
      </c>
      <c r="O98" s="6" t="str">
        <f t="shared" si="1"/>
        <v>Normal</v>
      </c>
    </row>
    <row r="99" spans="1:1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s="4"/>
      <c r="M99" t="s">
        <v>4280</v>
      </c>
      <c r="N99" s="6">
        <v>3097.6</v>
      </c>
      <c r="O99" s="6" t="str">
        <f t="shared" si="1"/>
        <v>Normal</v>
      </c>
    </row>
    <row r="100" spans="1:1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s="4"/>
      <c r="M100" t="s">
        <v>4280</v>
      </c>
      <c r="N100" s="6">
        <v>457.08</v>
      </c>
      <c r="O100" s="6" t="str">
        <f t="shared" si="1"/>
        <v>Normal</v>
      </c>
    </row>
    <row r="101" spans="1:1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  <c r="O101" s="6" t="str">
        <f t="shared" si="1"/>
        <v>Normal</v>
      </c>
    </row>
    <row r="102" spans="1:1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s="4"/>
      <c r="M102" t="s">
        <v>4281</v>
      </c>
      <c r="N102" s="6">
        <v>1994.37</v>
      </c>
      <c r="O102" s="6" t="str">
        <f t="shared" si="1"/>
        <v>Normal</v>
      </c>
    </row>
    <row r="103" spans="1:1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s="4"/>
      <c r="M103" t="s">
        <v>4282</v>
      </c>
      <c r="N103" s="6">
        <v>381.02</v>
      </c>
      <c r="O103" s="6" t="str">
        <f t="shared" si="1"/>
        <v>Normal</v>
      </c>
    </row>
    <row r="104" spans="1:1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  <c r="O104" s="6" t="str">
        <f t="shared" si="1"/>
        <v>Normal</v>
      </c>
    </row>
    <row r="105" spans="1:1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  <c r="O105" s="6" t="str">
        <f t="shared" si="1"/>
        <v>Normal</v>
      </c>
    </row>
    <row r="106" spans="1:1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  <c r="O106" s="6" t="str">
        <f t="shared" si="1"/>
        <v>Normal</v>
      </c>
    </row>
    <row r="107" spans="1:1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s="4"/>
      <c r="M107" t="s">
        <v>4281</v>
      </c>
      <c r="N107" s="6">
        <v>556.20000000000005</v>
      </c>
      <c r="O107" s="6" t="str">
        <f t="shared" si="1"/>
        <v>Normal</v>
      </c>
    </row>
    <row r="108" spans="1:1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  <c r="O108" s="6" t="str">
        <f t="shared" si="1"/>
        <v>Normal</v>
      </c>
    </row>
    <row r="109" spans="1:1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  <c r="O109" s="6" t="str">
        <f t="shared" si="1"/>
        <v>Outlier</v>
      </c>
    </row>
    <row r="110" spans="1:1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  <c r="O110" s="6" t="str">
        <f t="shared" si="1"/>
        <v>Normal</v>
      </c>
    </row>
    <row r="111" spans="1:1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  <c r="O111" s="6" t="str">
        <f t="shared" si="1"/>
        <v>Normal</v>
      </c>
    </row>
    <row r="112" spans="1:1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  <c r="O112" s="6" t="str">
        <f t="shared" si="1"/>
        <v>Normal</v>
      </c>
    </row>
    <row r="113" spans="1:1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  <c r="O113" s="6" t="str">
        <f t="shared" si="1"/>
        <v>Normal</v>
      </c>
    </row>
    <row r="114" spans="1:1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  <c r="O114" s="6" t="str">
        <f t="shared" si="1"/>
        <v>Normal</v>
      </c>
    </row>
    <row r="115" spans="1:1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  <c r="O115" s="6" t="str">
        <f t="shared" si="1"/>
        <v>Normal</v>
      </c>
    </row>
    <row r="116" spans="1:1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  <c r="O116" s="6" t="str">
        <f t="shared" si="1"/>
        <v>Normal</v>
      </c>
    </row>
    <row r="117" spans="1:1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  <c r="O117" s="6" t="str">
        <f t="shared" si="1"/>
        <v>Normal</v>
      </c>
    </row>
    <row r="118" spans="1:1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  <c r="O118" s="6" t="str">
        <f t="shared" si="1"/>
        <v>Normal</v>
      </c>
    </row>
    <row r="119" spans="1:1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  <c r="O119" s="6" t="str">
        <f t="shared" si="1"/>
        <v>Normal</v>
      </c>
    </row>
    <row r="120" spans="1:1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  <c r="O120" s="6" t="str">
        <f t="shared" si="1"/>
        <v>Normal</v>
      </c>
    </row>
    <row r="121" spans="1:1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  <c r="O121" s="6" t="str">
        <f t="shared" si="1"/>
        <v>Normal</v>
      </c>
    </row>
    <row r="122" spans="1:1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  <c r="O122" s="6" t="str">
        <f t="shared" si="1"/>
        <v>Normal</v>
      </c>
    </row>
    <row r="123" spans="1:1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  <c r="O123" s="6" t="str">
        <f t="shared" si="1"/>
        <v>Normal</v>
      </c>
    </row>
    <row r="124" spans="1:1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s="4"/>
      <c r="M124" t="s">
        <v>4281</v>
      </c>
      <c r="N124" s="6">
        <v>1066.04</v>
      </c>
      <c r="O124" s="6" t="str">
        <f t="shared" si="1"/>
        <v>Normal</v>
      </c>
    </row>
    <row r="125" spans="1:1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s="4"/>
      <c r="M125" t="s">
        <v>4278</v>
      </c>
      <c r="N125" s="6">
        <v>834.12000000000012</v>
      </c>
      <c r="O125" s="6" t="str">
        <f t="shared" si="1"/>
        <v>Normal</v>
      </c>
    </row>
    <row r="126" spans="1:1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s="4"/>
      <c r="M126" t="s">
        <v>4282</v>
      </c>
      <c r="N126" s="6">
        <v>1135.1600000000001</v>
      </c>
      <c r="O126" s="6" t="str">
        <f t="shared" si="1"/>
        <v>Normal</v>
      </c>
    </row>
    <row r="127" spans="1:1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  <c r="O127" s="6" t="str">
        <f t="shared" si="1"/>
        <v>Normal</v>
      </c>
    </row>
    <row r="128" spans="1:1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  <c r="O128" s="6" t="str">
        <f t="shared" si="1"/>
        <v>Normal</v>
      </c>
    </row>
    <row r="129" spans="1:1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s="4"/>
      <c r="M129" t="s">
        <v>4282</v>
      </c>
      <c r="N129" s="6">
        <v>1407.96</v>
      </c>
      <c r="O129" s="6" t="str">
        <f t="shared" si="1"/>
        <v>Normal</v>
      </c>
    </row>
    <row r="130" spans="1:1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  <c r="O130" s="6" t="str">
        <f t="shared" si="1"/>
        <v>Normal</v>
      </c>
    </row>
    <row r="131" spans="1:1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  <c r="O131" s="6" t="str">
        <f t="shared" ref="O131:O194" si="2">IF(OR(N131&lt;$P$10,N131&gt;$P$13),"Outlier","Normal")</f>
        <v>Normal</v>
      </c>
    </row>
    <row r="132" spans="1:1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  <c r="O132" s="6" t="str">
        <f t="shared" si="2"/>
        <v>Normal</v>
      </c>
    </row>
    <row r="133" spans="1:1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s="4"/>
      <c r="M133" t="s">
        <v>4278</v>
      </c>
      <c r="N133" s="6">
        <v>84.8</v>
      </c>
      <c r="O133" s="6" t="str">
        <f t="shared" si="2"/>
        <v>Normal</v>
      </c>
    </row>
    <row r="134" spans="1:1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  <c r="O134" s="6" t="str">
        <f t="shared" si="2"/>
        <v>Normal</v>
      </c>
    </row>
    <row r="135" spans="1:1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  <c r="O135" s="6" t="str">
        <f t="shared" si="2"/>
        <v>Normal</v>
      </c>
    </row>
    <row r="136" spans="1:1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s="4"/>
      <c r="M136" t="s">
        <v>4280</v>
      </c>
      <c r="N136" s="6">
        <v>399.4</v>
      </c>
      <c r="O136" s="6" t="str">
        <f t="shared" si="2"/>
        <v>Normal</v>
      </c>
    </row>
    <row r="137" spans="1:1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  <c r="O137" s="6" t="str">
        <f t="shared" si="2"/>
        <v>Normal</v>
      </c>
    </row>
    <row r="138" spans="1:1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  <c r="O138" s="6" t="str">
        <f t="shared" si="2"/>
        <v>Normal</v>
      </c>
    </row>
    <row r="139" spans="1:1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s="4"/>
      <c r="M139" t="s">
        <v>4282</v>
      </c>
      <c r="N139" s="6">
        <v>501.96</v>
      </c>
      <c r="O139" s="6" t="str">
        <f t="shared" si="2"/>
        <v>Normal</v>
      </c>
    </row>
    <row r="140" spans="1:1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  <c r="O140" s="6" t="str">
        <f t="shared" si="2"/>
        <v>Normal</v>
      </c>
    </row>
    <row r="141" spans="1:1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s="4"/>
      <c r="M141" t="s">
        <v>4280</v>
      </c>
      <c r="N141" s="6">
        <v>583.9</v>
      </c>
      <c r="O141" s="6" t="str">
        <f t="shared" si="2"/>
        <v>Normal</v>
      </c>
    </row>
    <row r="142" spans="1:1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  <c r="O142" s="6" t="str">
        <f t="shared" si="2"/>
        <v>Normal</v>
      </c>
    </row>
    <row r="143" spans="1:1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  <c r="O143" s="6" t="str">
        <f t="shared" si="2"/>
        <v>Normal</v>
      </c>
    </row>
    <row r="144" spans="1:1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  <c r="O144" s="6" t="str">
        <f t="shared" si="2"/>
        <v>Normal</v>
      </c>
    </row>
    <row r="145" spans="1:1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s="4"/>
      <c r="M145" t="s">
        <v>4279</v>
      </c>
      <c r="N145" s="6">
        <v>1600.28</v>
      </c>
      <c r="O145" s="6" t="str">
        <f t="shared" si="2"/>
        <v>Normal</v>
      </c>
    </row>
    <row r="146" spans="1:1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s="4"/>
      <c r="M146" t="s">
        <v>4281</v>
      </c>
      <c r="N146" s="6">
        <v>1098.9000000000001</v>
      </c>
      <c r="O146" s="6" t="str">
        <f t="shared" si="2"/>
        <v>Normal</v>
      </c>
    </row>
    <row r="147" spans="1:1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  <c r="O147" s="6" t="str">
        <f t="shared" si="2"/>
        <v>Normal</v>
      </c>
    </row>
    <row r="148" spans="1:1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s="4"/>
      <c r="M148" t="s">
        <v>4278</v>
      </c>
      <c r="N148" s="6">
        <v>822.98</v>
      </c>
      <c r="O148" s="6" t="str">
        <f t="shared" si="2"/>
        <v>Normal</v>
      </c>
    </row>
    <row r="149" spans="1:1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  <c r="O149" s="6" t="str">
        <f t="shared" si="2"/>
        <v>Normal</v>
      </c>
    </row>
    <row r="150" spans="1:1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  <c r="O150" s="6" t="str">
        <f t="shared" si="2"/>
        <v>Normal</v>
      </c>
    </row>
    <row r="151" spans="1:1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s="4"/>
      <c r="M151" t="s">
        <v>4281</v>
      </c>
      <c r="N151" s="6">
        <v>217.56</v>
      </c>
      <c r="O151" s="6" t="str">
        <f t="shared" si="2"/>
        <v>Normal</v>
      </c>
    </row>
    <row r="152" spans="1:1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  <c r="O152" s="6" t="str">
        <f t="shared" si="2"/>
        <v>Normal</v>
      </c>
    </row>
    <row r="153" spans="1:1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s="4"/>
      <c r="M153" t="s">
        <v>4280</v>
      </c>
      <c r="N153" s="6">
        <v>2223.8000000000002</v>
      </c>
      <c r="O153" s="6" t="str">
        <f t="shared" si="2"/>
        <v>Normal</v>
      </c>
    </row>
    <row r="154" spans="1:1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  <c r="O154" s="6" t="str">
        <f t="shared" si="2"/>
        <v>Normal</v>
      </c>
    </row>
    <row r="155" spans="1:1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  <c r="O155" s="6" t="str">
        <f t="shared" si="2"/>
        <v>Normal</v>
      </c>
    </row>
    <row r="156" spans="1:1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s="4"/>
      <c r="M156" t="s">
        <v>4278</v>
      </c>
      <c r="N156" s="6">
        <v>1632.84</v>
      </c>
      <c r="O156" s="6" t="str">
        <f t="shared" si="2"/>
        <v>Normal</v>
      </c>
    </row>
    <row r="157" spans="1:1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  <c r="O157" s="6" t="str">
        <f t="shared" si="2"/>
        <v>Normal</v>
      </c>
    </row>
    <row r="158" spans="1:1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  <c r="O158" s="6" t="str">
        <f t="shared" si="2"/>
        <v>Normal</v>
      </c>
    </row>
    <row r="159" spans="1:1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  <c r="O159" s="6" t="str">
        <f t="shared" si="2"/>
        <v>Normal</v>
      </c>
    </row>
    <row r="160" spans="1:1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  <c r="O160" s="6" t="str">
        <f t="shared" si="2"/>
        <v>Normal</v>
      </c>
    </row>
    <row r="161" spans="1:1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  <c r="O161" s="6" t="str">
        <f t="shared" si="2"/>
        <v>Normal</v>
      </c>
    </row>
    <row r="162" spans="1:1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s="4"/>
      <c r="M162" t="s">
        <v>4279</v>
      </c>
      <c r="N162" s="6">
        <v>405.28</v>
      </c>
      <c r="O162" s="6" t="str">
        <f t="shared" si="2"/>
        <v>Normal</v>
      </c>
    </row>
    <row r="163" spans="1:1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  <c r="O163" s="6" t="str">
        <f t="shared" si="2"/>
        <v>Normal</v>
      </c>
    </row>
    <row r="164" spans="1:1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  <c r="O164" s="6" t="str">
        <f t="shared" si="2"/>
        <v>Normal</v>
      </c>
    </row>
    <row r="165" spans="1:1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s="4"/>
      <c r="M165" t="s">
        <v>4279</v>
      </c>
      <c r="N165" s="6">
        <v>641.39</v>
      </c>
      <c r="O165" s="6" t="str">
        <f t="shared" si="2"/>
        <v>Normal</v>
      </c>
    </row>
    <row r="166" spans="1:1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  <c r="O166" s="6" t="str">
        <f t="shared" si="2"/>
        <v>Normal</v>
      </c>
    </row>
    <row r="167" spans="1:1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  <c r="O167" s="6" t="str">
        <f t="shared" si="2"/>
        <v>Normal</v>
      </c>
    </row>
    <row r="168" spans="1:1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  <c r="O168" s="6" t="str">
        <f t="shared" si="2"/>
        <v>Normal</v>
      </c>
    </row>
    <row r="169" spans="1:1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  <c r="O169" s="6" t="str">
        <f t="shared" si="2"/>
        <v>Normal</v>
      </c>
    </row>
    <row r="170" spans="1:1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s="4"/>
      <c r="M170" t="s">
        <v>4281</v>
      </c>
      <c r="N170" s="6">
        <v>594.96</v>
      </c>
      <c r="O170" s="6" t="str">
        <f t="shared" si="2"/>
        <v>Normal</v>
      </c>
    </row>
    <row r="171" spans="1:1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  <c r="O171" s="6" t="str">
        <f t="shared" si="2"/>
        <v>Normal</v>
      </c>
    </row>
    <row r="172" spans="1:1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  <c r="O172" s="6" t="str">
        <f t="shared" si="2"/>
        <v>Normal</v>
      </c>
    </row>
    <row r="173" spans="1:1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  <c r="O173" s="6" t="str">
        <f t="shared" si="2"/>
        <v>Normal</v>
      </c>
    </row>
    <row r="174" spans="1:1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  <c r="O174" s="6" t="str">
        <f t="shared" si="2"/>
        <v>Normal</v>
      </c>
    </row>
    <row r="175" spans="1:1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  <c r="O175" s="6" t="str">
        <f t="shared" si="2"/>
        <v>Normal</v>
      </c>
    </row>
    <row r="176" spans="1:1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  <c r="O176" s="6" t="str">
        <f t="shared" si="2"/>
        <v>Normal</v>
      </c>
    </row>
    <row r="177" spans="1:1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  <c r="O177" s="6" t="str">
        <f t="shared" si="2"/>
        <v>Normal</v>
      </c>
    </row>
    <row r="178" spans="1:1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  <c r="O178" s="6" t="str">
        <f t="shared" si="2"/>
        <v>Normal</v>
      </c>
    </row>
    <row r="179" spans="1:1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s="4"/>
      <c r="M179" t="s">
        <v>4281</v>
      </c>
      <c r="N179" s="6">
        <v>2158.4499999999998</v>
      </c>
      <c r="O179" s="6" t="str">
        <f t="shared" si="2"/>
        <v>Normal</v>
      </c>
    </row>
    <row r="180" spans="1:1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  <c r="O180" s="6" t="str">
        <f t="shared" si="2"/>
        <v>Normal</v>
      </c>
    </row>
    <row r="181" spans="1:1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s="4"/>
      <c r="M181" t="s">
        <v>4280</v>
      </c>
      <c r="N181" s="6">
        <v>1619.73</v>
      </c>
      <c r="O181" s="6" t="str">
        <f t="shared" si="2"/>
        <v>Normal</v>
      </c>
    </row>
    <row r="182" spans="1:1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s="4"/>
      <c r="M182" t="s">
        <v>4282</v>
      </c>
      <c r="N182" s="6">
        <v>1580.35</v>
      </c>
      <c r="O182" s="6" t="str">
        <f t="shared" si="2"/>
        <v>Normal</v>
      </c>
    </row>
    <row r="183" spans="1:1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s="4"/>
      <c r="M183" t="s">
        <v>4279</v>
      </c>
      <c r="N183" s="6">
        <v>2021.95</v>
      </c>
      <c r="O183" s="6" t="str">
        <f t="shared" si="2"/>
        <v>Normal</v>
      </c>
    </row>
    <row r="184" spans="1:1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  <c r="O184" s="6" t="str">
        <f t="shared" si="2"/>
        <v>Normal</v>
      </c>
    </row>
    <row r="185" spans="1:1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  <c r="O185" s="6" t="str">
        <f t="shared" si="2"/>
        <v>Normal</v>
      </c>
    </row>
    <row r="186" spans="1:1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s="4"/>
      <c r="M186" t="s">
        <v>4279</v>
      </c>
      <c r="N186" s="6">
        <v>858.16</v>
      </c>
      <c r="O186" s="6" t="str">
        <f t="shared" si="2"/>
        <v>Normal</v>
      </c>
    </row>
    <row r="187" spans="1:1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  <c r="O187" s="6" t="str">
        <f t="shared" si="2"/>
        <v>Normal</v>
      </c>
    </row>
    <row r="188" spans="1:1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  <c r="O188" s="6" t="str">
        <f t="shared" si="2"/>
        <v>Normal</v>
      </c>
    </row>
    <row r="189" spans="1:1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  <c r="O189" s="6" t="str">
        <f t="shared" si="2"/>
        <v>Normal</v>
      </c>
    </row>
    <row r="190" spans="1:1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  <c r="O190" s="6" t="str">
        <f t="shared" si="2"/>
        <v>Normal</v>
      </c>
    </row>
    <row r="191" spans="1:1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  <c r="O191" s="6" t="str">
        <f t="shared" si="2"/>
        <v>Normal</v>
      </c>
    </row>
    <row r="192" spans="1:1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  <c r="O192" s="6" t="str">
        <f t="shared" si="2"/>
        <v>Normal</v>
      </c>
    </row>
    <row r="193" spans="1:1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  <c r="O193" s="6" t="str">
        <f t="shared" si="2"/>
        <v>Normal</v>
      </c>
    </row>
    <row r="194" spans="1:1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  <c r="O194" s="6" t="str">
        <f t="shared" si="2"/>
        <v>Normal</v>
      </c>
    </row>
    <row r="195" spans="1:1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s="4"/>
      <c r="M195" t="s">
        <v>4282</v>
      </c>
      <c r="N195" s="6">
        <v>46.66</v>
      </c>
      <c r="O195" s="6" t="str">
        <f t="shared" ref="O195:O258" si="3">IF(OR(N195&lt;$P$10,N195&gt;$P$13),"Outlier","Normal")</f>
        <v>Normal</v>
      </c>
    </row>
    <row r="196" spans="1:1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  <c r="O196" s="6" t="str">
        <f t="shared" si="3"/>
        <v>Normal</v>
      </c>
    </row>
    <row r="197" spans="1:1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s="4"/>
      <c r="M197" t="s">
        <v>4280</v>
      </c>
      <c r="N197" s="6">
        <v>1857.63</v>
      </c>
      <c r="O197" s="6" t="str">
        <f t="shared" si="3"/>
        <v>Normal</v>
      </c>
    </row>
    <row r="198" spans="1:1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  <c r="O198" s="6" t="str">
        <f t="shared" si="3"/>
        <v>Normal</v>
      </c>
    </row>
    <row r="199" spans="1:1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  <c r="O199" s="6" t="str">
        <f t="shared" si="3"/>
        <v>Normal</v>
      </c>
    </row>
    <row r="200" spans="1:1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  <c r="O200" s="6" t="str">
        <f t="shared" si="3"/>
        <v>Normal</v>
      </c>
    </row>
    <row r="201" spans="1:1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  <c r="O201" s="6" t="str">
        <f t="shared" si="3"/>
        <v>Normal</v>
      </c>
    </row>
    <row r="202" spans="1:1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  <c r="O202" s="6" t="str">
        <f t="shared" si="3"/>
        <v>Normal</v>
      </c>
    </row>
    <row r="203" spans="1:1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  <c r="O203" s="6" t="str">
        <f t="shared" si="3"/>
        <v>Normal</v>
      </c>
    </row>
    <row r="204" spans="1:1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  <c r="O204" s="6" t="str">
        <f t="shared" si="3"/>
        <v>Normal</v>
      </c>
    </row>
    <row r="205" spans="1:1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  <c r="O205" s="6" t="str">
        <f t="shared" si="3"/>
        <v>Normal</v>
      </c>
    </row>
    <row r="206" spans="1:1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  <c r="O206" s="6" t="str">
        <f t="shared" si="3"/>
        <v>Normal</v>
      </c>
    </row>
    <row r="207" spans="1:1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s="4"/>
      <c r="M207" t="s">
        <v>4280</v>
      </c>
      <c r="N207" s="6">
        <v>442.17</v>
      </c>
      <c r="O207" s="6" t="str">
        <f t="shared" si="3"/>
        <v>Normal</v>
      </c>
    </row>
    <row r="208" spans="1:1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  <c r="O208" s="6" t="str">
        <f t="shared" si="3"/>
        <v>Normal</v>
      </c>
    </row>
    <row r="209" spans="1:1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s="4"/>
      <c r="M209" t="s">
        <v>4282</v>
      </c>
      <c r="N209" s="6">
        <v>121.96</v>
      </c>
      <c r="O209" s="6" t="str">
        <f t="shared" si="3"/>
        <v>Normal</v>
      </c>
    </row>
    <row r="210" spans="1:1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  <c r="O210" s="6" t="str">
        <f t="shared" si="3"/>
        <v>Normal</v>
      </c>
    </row>
    <row r="211" spans="1:1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  <c r="O211" s="6" t="str">
        <f t="shared" si="3"/>
        <v>Normal</v>
      </c>
    </row>
    <row r="212" spans="1:1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  <c r="O212" s="6" t="str">
        <f t="shared" si="3"/>
        <v>Normal</v>
      </c>
    </row>
    <row r="213" spans="1:1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  <c r="O213" s="6" t="str">
        <f t="shared" si="3"/>
        <v>Normal</v>
      </c>
    </row>
    <row r="214" spans="1:1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  <c r="O214" s="6" t="str">
        <f t="shared" si="3"/>
        <v>Normal</v>
      </c>
    </row>
    <row r="215" spans="1:1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  <c r="O215" s="6" t="str">
        <f t="shared" si="3"/>
        <v>Normal</v>
      </c>
    </row>
    <row r="216" spans="1:1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s="4"/>
      <c r="M216" t="s">
        <v>4281</v>
      </c>
      <c r="N216" s="6">
        <v>1222.8800000000001</v>
      </c>
      <c r="O216" s="6" t="str">
        <f t="shared" si="3"/>
        <v>Normal</v>
      </c>
    </row>
    <row r="217" spans="1:1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  <c r="O217" s="6" t="str">
        <f t="shared" si="3"/>
        <v>Normal</v>
      </c>
    </row>
    <row r="218" spans="1:1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  <c r="O218" s="6" t="str">
        <f t="shared" si="3"/>
        <v>Normal</v>
      </c>
    </row>
    <row r="219" spans="1:1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s="4"/>
      <c r="M219" t="s">
        <v>4282</v>
      </c>
      <c r="N219" s="6">
        <v>1286.04</v>
      </c>
      <c r="O219" s="6" t="str">
        <f t="shared" si="3"/>
        <v>Normal</v>
      </c>
    </row>
    <row r="220" spans="1:1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  <c r="O220" s="6" t="str">
        <f t="shared" si="3"/>
        <v>Normal</v>
      </c>
    </row>
    <row r="221" spans="1:1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  <c r="O221" s="6" t="str">
        <f t="shared" si="3"/>
        <v>Normal</v>
      </c>
    </row>
    <row r="222" spans="1:1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  <c r="O222" s="6" t="str">
        <f t="shared" si="3"/>
        <v>Normal</v>
      </c>
    </row>
    <row r="223" spans="1:1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  <c r="O223" s="6" t="str">
        <f t="shared" si="3"/>
        <v>Normal</v>
      </c>
    </row>
    <row r="224" spans="1:1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s="4"/>
      <c r="M224" t="s">
        <v>4278</v>
      </c>
      <c r="N224" s="6">
        <v>2773.44</v>
      </c>
      <c r="O224" s="6" t="str">
        <f t="shared" si="3"/>
        <v>Normal</v>
      </c>
    </row>
    <row r="225" spans="1:1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  <c r="O225" s="6" t="str">
        <f t="shared" si="3"/>
        <v>Normal</v>
      </c>
    </row>
    <row r="226" spans="1:1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  <c r="O226" s="6" t="str">
        <f t="shared" si="3"/>
        <v>Normal</v>
      </c>
    </row>
    <row r="227" spans="1:1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  <c r="O227" s="6" t="str">
        <f t="shared" si="3"/>
        <v>Normal</v>
      </c>
    </row>
    <row r="228" spans="1:1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s="4"/>
      <c r="M228" t="s">
        <v>4278</v>
      </c>
      <c r="N228" s="6">
        <v>1764.15</v>
      </c>
      <c r="O228" s="6" t="str">
        <f t="shared" si="3"/>
        <v>Normal</v>
      </c>
    </row>
    <row r="229" spans="1:1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  <c r="O229" s="6" t="str">
        <f t="shared" si="3"/>
        <v>Normal</v>
      </c>
    </row>
    <row r="230" spans="1:1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s="4"/>
      <c r="M230" t="s">
        <v>4278</v>
      </c>
      <c r="N230" s="6">
        <v>1543.68</v>
      </c>
      <c r="O230" s="6" t="str">
        <f t="shared" si="3"/>
        <v>Normal</v>
      </c>
    </row>
    <row r="231" spans="1:1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  <c r="O231" s="6" t="str">
        <f t="shared" si="3"/>
        <v>Normal</v>
      </c>
    </row>
    <row r="232" spans="1:1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  <c r="O232" s="6" t="str">
        <f t="shared" si="3"/>
        <v>Normal</v>
      </c>
    </row>
    <row r="233" spans="1:1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  <c r="O233" s="6" t="str">
        <f t="shared" si="3"/>
        <v>Normal</v>
      </c>
    </row>
    <row r="234" spans="1:1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  <c r="O234" s="6" t="str">
        <f t="shared" si="3"/>
        <v>Normal</v>
      </c>
    </row>
    <row r="235" spans="1:1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  <c r="O235" s="6" t="str">
        <f t="shared" si="3"/>
        <v>Normal</v>
      </c>
    </row>
    <row r="236" spans="1:1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  <c r="O236" s="6" t="str">
        <f t="shared" si="3"/>
        <v>Normal</v>
      </c>
    </row>
    <row r="237" spans="1:1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  <c r="O237" s="6" t="str">
        <f t="shared" si="3"/>
        <v>Normal</v>
      </c>
    </row>
    <row r="238" spans="1:1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  <c r="O238" s="6" t="str">
        <f t="shared" si="3"/>
        <v>Normal</v>
      </c>
    </row>
    <row r="239" spans="1:1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  <c r="O239" s="6" t="str">
        <f t="shared" si="3"/>
        <v>Normal</v>
      </c>
    </row>
    <row r="240" spans="1:1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  <c r="O240" s="6" t="str">
        <f t="shared" si="3"/>
        <v>Normal</v>
      </c>
    </row>
    <row r="241" spans="1:1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  <c r="O241" s="6" t="str">
        <f t="shared" si="3"/>
        <v>Normal</v>
      </c>
    </row>
    <row r="242" spans="1:1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  <c r="O242" s="6" t="str">
        <f t="shared" si="3"/>
        <v>Normal</v>
      </c>
    </row>
    <row r="243" spans="1:1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  <c r="O243" s="6" t="str">
        <f t="shared" si="3"/>
        <v>Normal</v>
      </c>
    </row>
    <row r="244" spans="1:1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  <c r="O244" s="6" t="str">
        <f t="shared" si="3"/>
        <v>Normal</v>
      </c>
    </row>
    <row r="245" spans="1:1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  <c r="O245" s="6" t="str">
        <f t="shared" si="3"/>
        <v>Normal</v>
      </c>
    </row>
    <row r="246" spans="1:1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  <c r="O246" s="6" t="str">
        <f t="shared" si="3"/>
        <v>Normal</v>
      </c>
    </row>
    <row r="247" spans="1:1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s="4"/>
      <c r="M247" t="s">
        <v>4281</v>
      </c>
      <c r="N247" s="6">
        <v>223.3</v>
      </c>
      <c r="O247" s="6" t="str">
        <f t="shared" si="3"/>
        <v>Normal</v>
      </c>
    </row>
    <row r="248" spans="1:1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  <c r="O248" s="6" t="str">
        <f t="shared" si="3"/>
        <v>Normal</v>
      </c>
    </row>
    <row r="249" spans="1:1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s="4"/>
      <c r="M249" t="s">
        <v>4280</v>
      </c>
      <c r="N249" s="6">
        <v>441.8</v>
      </c>
      <c r="O249" s="6" t="str">
        <f t="shared" si="3"/>
        <v>Normal</v>
      </c>
    </row>
    <row r="250" spans="1:1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  <c r="O250" s="6" t="str">
        <f t="shared" si="3"/>
        <v>Normal</v>
      </c>
    </row>
    <row r="251" spans="1:1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  <c r="O251" s="6" t="str">
        <f t="shared" si="3"/>
        <v>Normal</v>
      </c>
    </row>
    <row r="252" spans="1:1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  <c r="O252" s="6" t="str">
        <f t="shared" si="3"/>
        <v>Normal</v>
      </c>
    </row>
    <row r="253" spans="1:1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s="4"/>
      <c r="M253" t="s">
        <v>4280</v>
      </c>
      <c r="N253" s="6">
        <v>58.76</v>
      </c>
      <c r="O253" s="6" t="str">
        <f t="shared" si="3"/>
        <v>Normal</v>
      </c>
    </row>
    <row r="254" spans="1:1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  <c r="O254" s="6" t="str">
        <f t="shared" si="3"/>
        <v>Normal</v>
      </c>
    </row>
    <row r="255" spans="1:1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  <c r="O255" s="6" t="str">
        <f t="shared" si="3"/>
        <v>Normal</v>
      </c>
    </row>
    <row r="256" spans="1:1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s="4"/>
      <c r="M256" t="s">
        <v>4278</v>
      </c>
      <c r="N256" s="6">
        <v>789.56999999999994</v>
      </c>
      <c r="O256" s="6" t="str">
        <f t="shared" si="3"/>
        <v>Normal</v>
      </c>
    </row>
    <row r="257" spans="1:1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  <c r="O257" s="6" t="str">
        <f t="shared" si="3"/>
        <v>Normal</v>
      </c>
    </row>
    <row r="258" spans="1:1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  <c r="O258" s="6" t="str">
        <f t="shared" si="3"/>
        <v>Normal</v>
      </c>
    </row>
    <row r="259" spans="1:1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  <c r="O259" s="6" t="str">
        <f t="shared" ref="O259:O322" si="4">IF(OR(N259&lt;$P$10,N259&gt;$P$13),"Outlier","Normal")</f>
        <v>Normal</v>
      </c>
    </row>
    <row r="260" spans="1:1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  <c r="O260" s="6" t="str">
        <f t="shared" si="4"/>
        <v>Normal</v>
      </c>
    </row>
    <row r="261" spans="1:1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  <c r="O261" s="6" t="str">
        <f t="shared" si="4"/>
        <v>Normal</v>
      </c>
    </row>
    <row r="262" spans="1:1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s="4"/>
      <c r="M262" t="s">
        <v>4282</v>
      </c>
      <c r="N262" s="6">
        <v>815.58</v>
      </c>
      <c r="O262" s="6" t="str">
        <f t="shared" si="4"/>
        <v>Normal</v>
      </c>
    </row>
    <row r="263" spans="1:1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  <c r="O263" s="6" t="str">
        <f t="shared" si="4"/>
        <v>Normal</v>
      </c>
    </row>
    <row r="264" spans="1:1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  <c r="O264" s="6" t="str">
        <f t="shared" si="4"/>
        <v>Normal</v>
      </c>
    </row>
    <row r="265" spans="1:1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  <c r="O265" s="6" t="str">
        <f t="shared" si="4"/>
        <v>Normal</v>
      </c>
    </row>
    <row r="266" spans="1:1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  <c r="O266" s="6" t="str">
        <f t="shared" si="4"/>
        <v>Normal</v>
      </c>
    </row>
    <row r="267" spans="1:1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  <c r="O267" s="6" t="str">
        <f t="shared" si="4"/>
        <v>Normal</v>
      </c>
    </row>
    <row r="268" spans="1:1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  <c r="O268" s="6" t="str">
        <f t="shared" si="4"/>
        <v>Normal</v>
      </c>
    </row>
    <row r="269" spans="1:1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s="4"/>
      <c r="M269" t="s">
        <v>4281</v>
      </c>
      <c r="N269" s="6">
        <v>2342.5500000000002</v>
      </c>
      <c r="O269" s="6" t="str">
        <f t="shared" si="4"/>
        <v>Normal</v>
      </c>
    </row>
    <row r="270" spans="1:1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  <c r="O270" s="6" t="str">
        <f t="shared" si="4"/>
        <v>Normal</v>
      </c>
    </row>
    <row r="271" spans="1:1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  <c r="O271" s="6" t="str">
        <f t="shared" si="4"/>
        <v>Normal</v>
      </c>
    </row>
    <row r="272" spans="1:1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  <c r="O272" s="6" t="str">
        <f t="shared" si="4"/>
        <v>Normal</v>
      </c>
    </row>
    <row r="273" spans="1:1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  <c r="O273" s="6" t="str">
        <f t="shared" si="4"/>
        <v>Normal</v>
      </c>
    </row>
    <row r="274" spans="1:1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  <c r="O274" s="6" t="str">
        <f t="shared" si="4"/>
        <v>Normal</v>
      </c>
    </row>
    <row r="275" spans="1:1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  <c r="O275" s="6" t="str">
        <f t="shared" si="4"/>
        <v>Normal</v>
      </c>
    </row>
    <row r="276" spans="1:1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  <c r="O276" s="6" t="str">
        <f t="shared" si="4"/>
        <v>Normal</v>
      </c>
    </row>
    <row r="277" spans="1:1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  <c r="O277" s="6" t="str">
        <f t="shared" si="4"/>
        <v>Normal</v>
      </c>
    </row>
    <row r="278" spans="1:1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  <c r="O278" s="6" t="str">
        <f t="shared" si="4"/>
        <v>Normal</v>
      </c>
    </row>
    <row r="279" spans="1:1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  <c r="O279" s="6" t="str">
        <f t="shared" si="4"/>
        <v>Normal</v>
      </c>
    </row>
    <row r="280" spans="1:1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  <c r="O280" s="6" t="str">
        <f t="shared" si="4"/>
        <v>Normal</v>
      </c>
    </row>
    <row r="281" spans="1:1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  <c r="O281" s="6" t="str">
        <f t="shared" si="4"/>
        <v>Normal</v>
      </c>
    </row>
    <row r="282" spans="1:1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  <c r="O282" s="6" t="str">
        <f t="shared" si="4"/>
        <v>Normal</v>
      </c>
    </row>
    <row r="283" spans="1:1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s="4"/>
      <c r="M283" t="s">
        <v>4279</v>
      </c>
      <c r="N283" s="6">
        <v>2619.16</v>
      </c>
      <c r="O283" s="6" t="str">
        <f t="shared" si="4"/>
        <v>Normal</v>
      </c>
    </row>
    <row r="284" spans="1:1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  <c r="O284" s="6" t="str">
        <f t="shared" si="4"/>
        <v>Normal</v>
      </c>
    </row>
    <row r="285" spans="1:1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s="4"/>
      <c r="M285" t="s">
        <v>4282</v>
      </c>
      <c r="N285" s="6">
        <v>2161.3200000000002</v>
      </c>
      <c r="O285" s="6" t="str">
        <f t="shared" si="4"/>
        <v>Normal</v>
      </c>
    </row>
    <row r="286" spans="1:1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  <c r="O286" s="6" t="str">
        <f t="shared" si="4"/>
        <v>Normal</v>
      </c>
    </row>
    <row r="287" spans="1:1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s="4"/>
      <c r="M287" t="s">
        <v>4282</v>
      </c>
      <c r="N287" s="6">
        <v>338.31</v>
      </c>
      <c r="O287" s="6" t="str">
        <f t="shared" si="4"/>
        <v>Normal</v>
      </c>
    </row>
    <row r="288" spans="1:1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  <c r="O288" s="6" t="str">
        <f t="shared" si="4"/>
        <v>Normal</v>
      </c>
    </row>
    <row r="289" spans="1:1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s="4"/>
      <c r="M289" t="s">
        <v>4281</v>
      </c>
      <c r="N289" s="6">
        <v>2620.7199999999998</v>
      </c>
      <c r="O289" s="6" t="str">
        <f t="shared" si="4"/>
        <v>Normal</v>
      </c>
    </row>
    <row r="290" spans="1:1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  <c r="O290" s="6" t="str">
        <f t="shared" si="4"/>
        <v>Normal</v>
      </c>
    </row>
    <row r="291" spans="1:1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  <c r="O291" s="6" t="str">
        <f t="shared" si="4"/>
        <v>Normal</v>
      </c>
    </row>
    <row r="292" spans="1:1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  <c r="O292" s="6" t="str">
        <f t="shared" si="4"/>
        <v>Normal</v>
      </c>
    </row>
    <row r="293" spans="1:1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  <c r="O293" s="6" t="str">
        <f t="shared" si="4"/>
        <v>Normal</v>
      </c>
    </row>
    <row r="294" spans="1:1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s="4"/>
      <c r="M294" t="s">
        <v>4281</v>
      </c>
      <c r="N294" s="6">
        <v>65.95</v>
      </c>
      <c r="O294" s="6" t="str">
        <f t="shared" si="4"/>
        <v>Normal</v>
      </c>
    </row>
    <row r="295" spans="1:1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s="4"/>
      <c r="M295" t="s">
        <v>4278</v>
      </c>
      <c r="N295" s="6">
        <v>1852.16</v>
      </c>
      <c r="O295" s="6" t="str">
        <f t="shared" si="4"/>
        <v>Normal</v>
      </c>
    </row>
    <row r="296" spans="1:1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  <c r="O296" s="6" t="str">
        <f t="shared" si="4"/>
        <v>Normal</v>
      </c>
    </row>
    <row r="297" spans="1:1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  <c r="O297" s="6" t="str">
        <f t="shared" si="4"/>
        <v>Normal</v>
      </c>
    </row>
    <row r="298" spans="1:1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  <c r="O298" s="6" t="str">
        <f t="shared" si="4"/>
        <v>Normal</v>
      </c>
    </row>
    <row r="299" spans="1:1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  <c r="O299" s="6" t="str">
        <f t="shared" si="4"/>
        <v>Normal</v>
      </c>
    </row>
    <row r="300" spans="1:1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s="4"/>
      <c r="M300" t="s">
        <v>4280</v>
      </c>
      <c r="N300" s="6">
        <v>1204.68</v>
      </c>
      <c r="O300" s="6" t="str">
        <f t="shared" si="4"/>
        <v>Normal</v>
      </c>
    </row>
    <row r="301" spans="1:1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  <c r="O301" s="6" t="str">
        <f t="shared" si="4"/>
        <v>Normal</v>
      </c>
    </row>
    <row r="302" spans="1:1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  <c r="O302" s="6" t="str">
        <f t="shared" si="4"/>
        <v>Normal</v>
      </c>
    </row>
    <row r="303" spans="1:1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  <c r="O303" s="6" t="str">
        <f t="shared" si="4"/>
        <v>Normal</v>
      </c>
    </row>
    <row r="304" spans="1:1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  <c r="O304" s="6" t="str">
        <f t="shared" si="4"/>
        <v>Normal</v>
      </c>
    </row>
    <row r="305" spans="1:1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s="4"/>
      <c r="M305" t="s">
        <v>4282</v>
      </c>
      <c r="N305" s="6">
        <v>30.54</v>
      </c>
      <c r="O305" s="6" t="str">
        <f t="shared" si="4"/>
        <v>Normal</v>
      </c>
    </row>
    <row r="306" spans="1:1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  <c r="O306" s="6" t="str">
        <f t="shared" si="4"/>
        <v>Normal</v>
      </c>
    </row>
    <row r="307" spans="1:1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  <c r="O307" s="6" t="str">
        <f t="shared" si="4"/>
        <v>Normal</v>
      </c>
    </row>
    <row r="308" spans="1:1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  <c r="O308" s="6" t="str">
        <f t="shared" si="4"/>
        <v>Normal</v>
      </c>
    </row>
    <row r="309" spans="1:1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s="4"/>
      <c r="M309" t="s">
        <v>4280</v>
      </c>
      <c r="N309" s="6">
        <v>1672.23</v>
      </c>
      <c r="O309" s="6" t="str">
        <f t="shared" si="4"/>
        <v>Normal</v>
      </c>
    </row>
    <row r="310" spans="1:1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  <c r="O310" s="6" t="str">
        <f t="shared" si="4"/>
        <v>Normal</v>
      </c>
    </row>
    <row r="311" spans="1:1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  <c r="O311" s="6" t="str">
        <f t="shared" si="4"/>
        <v>Normal</v>
      </c>
    </row>
    <row r="312" spans="1:1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s="4"/>
      <c r="M312" t="s">
        <v>4279</v>
      </c>
      <c r="N312" s="6">
        <v>397.43999999999988</v>
      </c>
      <c r="O312" s="6" t="str">
        <f t="shared" si="4"/>
        <v>Normal</v>
      </c>
    </row>
    <row r="313" spans="1:1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s="4"/>
      <c r="M313" t="s">
        <v>4278</v>
      </c>
      <c r="N313" s="6">
        <v>2446.85</v>
      </c>
      <c r="O313" s="6" t="str">
        <f t="shared" si="4"/>
        <v>Normal</v>
      </c>
    </row>
    <row r="314" spans="1:1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  <c r="O314" s="6" t="str">
        <f t="shared" si="4"/>
        <v>Normal</v>
      </c>
    </row>
    <row r="315" spans="1:1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  <c r="O315" s="6" t="str">
        <f t="shared" si="4"/>
        <v>Normal</v>
      </c>
    </row>
    <row r="316" spans="1:1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  <c r="O316" s="6" t="str">
        <f t="shared" si="4"/>
        <v>Normal</v>
      </c>
    </row>
    <row r="317" spans="1:1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  <c r="O317" s="6" t="str">
        <f t="shared" si="4"/>
        <v>Normal</v>
      </c>
    </row>
    <row r="318" spans="1:1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  <c r="O318" s="6" t="str">
        <f t="shared" si="4"/>
        <v>Normal</v>
      </c>
    </row>
    <row r="319" spans="1:1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s="4"/>
      <c r="M319" t="s">
        <v>4278</v>
      </c>
      <c r="N319" s="6">
        <v>279.89999999999998</v>
      </c>
      <c r="O319" s="6" t="str">
        <f t="shared" si="4"/>
        <v>Normal</v>
      </c>
    </row>
    <row r="320" spans="1:1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  <c r="O320" s="6" t="str">
        <f t="shared" si="4"/>
        <v>Normal</v>
      </c>
    </row>
    <row r="321" spans="1:1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s="4"/>
      <c r="M321" t="s">
        <v>4278</v>
      </c>
      <c r="N321" s="6">
        <v>1126.1199999999999</v>
      </c>
      <c r="O321" s="6" t="str">
        <f t="shared" si="4"/>
        <v>Normal</v>
      </c>
    </row>
    <row r="322" spans="1:1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  <c r="O322" s="6" t="str">
        <f t="shared" si="4"/>
        <v>Normal</v>
      </c>
    </row>
    <row r="323" spans="1:1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  <c r="O323" s="6" t="str">
        <f t="shared" ref="O323:O386" si="5">IF(OR(N323&lt;$P$10,N323&gt;$P$13),"Outlier","Normal")</f>
        <v>Normal</v>
      </c>
    </row>
    <row r="324" spans="1:1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  <c r="O324" s="6" t="str">
        <f t="shared" si="5"/>
        <v>Normal</v>
      </c>
    </row>
    <row r="325" spans="1:1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  <c r="O325" s="6" t="str">
        <f t="shared" si="5"/>
        <v>Normal</v>
      </c>
    </row>
    <row r="326" spans="1:1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s="4"/>
      <c r="M326" t="s">
        <v>4279</v>
      </c>
      <c r="N326" s="6">
        <v>212.79</v>
      </c>
      <c r="O326" s="6" t="str">
        <f t="shared" si="5"/>
        <v>Normal</v>
      </c>
    </row>
    <row r="327" spans="1:1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s="4"/>
      <c r="M327" t="s">
        <v>4279</v>
      </c>
      <c r="N327" s="6">
        <v>1084.17</v>
      </c>
      <c r="O327" s="6" t="str">
        <f t="shared" si="5"/>
        <v>Normal</v>
      </c>
    </row>
    <row r="328" spans="1:1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  <c r="O328" s="6" t="str">
        <f t="shared" si="5"/>
        <v>Outlier</v>
      </c>
    </row>
    <row r="329" spans="1:1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  <c r="O329" s="6" t="str">
        <f t="shared" si="5"/>
        <v>Normal</v>
      </c>
    </row>
    <row r="330" spans="1:1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  <c r="O330" s="6" t="str">
        <f t="shared" si="5"/>
        <v>Outlier</v>
      </c>
    </row>
    <row r="331" spans="1:1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s="4"/>
      <c r="M331" t="s">
        <v>4282</v>
      </c>
      <c r="N331" s="6">
        <v>1132.6400000000001</v>
      </c>
      <c r="O331" s="6" t="str">
        <f t="shared" si="5"/>
        <v>Normal</v>
      </c>
    </row>
    <row r="332" spans="1:1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  <c r="O332" s="6" t="str">
        <f t="shared" si="5"/>
        <v>Normal</v>
      </c>
    </row>
    <row r="333" spans="1:1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  <c r="O333" s="6" t="str">
        <f t="shared" si="5"/>
        <v>Normal</v>
      </c>
    </row>
    <row r="334" spans="1:1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  <c r="O334" s="6" t="str">
        <f t="shared" si="5"/>
        <v>Normal</v>
      </c>
    </row>
    <row r="335" spans="1:1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  <c r="O335" s="6" t="str">
        <f t="shared" si="5"/>
        <v>Normal</v>
      </c>
    </row>
    <row r="336" spans="1:1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  <c r="O336" s="6" t="str">
        <f t="shared" si="5"/>
        <v>Normal</v>
      </c>
    </row>
    <row r="337" spans="1:1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s="4"/>
      <c r="M337" t="s">
        <v>4280</v>
      </c>
      <c r="N337" s="6">
        <v>617.58000000000004</v>
      </c>
      <c r="O337" s="6" t="str">
        <f t="shared" si="5"/>
        <v>Normal</v>
      </c>
    </row>
    <row r="338" spans="1:1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  <c r="O338" s="6" t="str">
        <f t="shared" si="5"/>
        <v>Normal</v>
      </c>
    </row>
    <row r="339" spans="1:1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  <c r="O339" s="6" t="str">
        <f t="shared" si="5"/>
        <v>Normal</v>
      </c>
    </row>
    <row r="340" spans="1:1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s="4"/>
      <c r="M340" t="s">
        <v>4279</v>
      </c>
      <c r="N340" s="6">
        <v>1527.45</v>
      </c>
      <c r="O340" s="6" t="str">
        <f t="shared" si="5"/>
        <v>Normal</v>
      </c>
    </row>
    <row r="341" spans="1:1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  <c r="O341" s="6" t="str">
        <f t="shared" si="5"/>
        <v>Normal</v>
      </c>
    </row>
    <row r="342" spans="1:1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s="4"/>
      <c r="M342" t="s">
        <v>4280</v>
      </c>
      <c r="N342" s="6">
        <v>2606.25</v>
      </c>
      <c r="O342" s="6" t="str">
        <f t="shared" si="5"/>
        <v>Normal</v>
      </c>
    </row>
    <row r="343" spans="1:1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  <c r="O343" s="6" t="str">
        <f t="shared" si="5"/>
        <v>Normal</v>
      </c>
    </row>
    <row r="344" spans="1:1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s="4"/>
      <c r="M344" t="s">
        <v>4279</v>
      </c>
      <c r="N344" s="6">
        <v>2332.1</v>
      </c>
      <c r="O344" s="6" t="str">
        <f t="shared" si="5"/>
        <v>Normal</v>
      </c>
    </row>
    <row r="345" spans="1:1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  <c r="O345" s="6" t="str">
        <f t="shared" si="5"/>
        <v>Normal</v>
      </c>
    </row>
    <row r="346" spans="1:1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  <c r="O346" s="6" t="str">
        <f t="shared" si="5"/>
        <v>Normal</v>
      </c>
    </row>
    <row r="347" spans="1:1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  <c r="O347" s="6" t="str">
        <f t="shared" si="5"/>
        <v>Normal</v>
      </c>
    </row>
    <row r="348" spans="1:1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s="4"/>
      <c r="M348" t="s">
        <v>4279</v>
      </c>
      <c r="N348" s="6">
        <v>655.09</v>
      </c>
      <c r="O348" s="6" t="str">
        <f t="shared" si="5"/>
        <v>Normal</v>
      </c>
    </row>
    <row r="349" spans="1:1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  <c r="O349" s="6" t="str">
        <f t="shared" si="5"/>
        <v>Normal</v>
      </c>
    </row>
    <row r="350" spans="1:1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  <c r="O350" s="6" t="str">
        <f t="shared" si="5"/>
        <v>Normal</v>
      </c>
    </row>
    <row r="351" spans="1:1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  <c r="O351" s="6" t="str">
        <f t="shared" si="5"/>
        <v>Normal</v>
      </c>
    </row>
    <row r="352" spans="1:1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s="4"/>
      <c r="M352" t="s">
        <v>4278</v>
      </c>
      <c r="N352" s="6">
        <v>108.82</v>
      </c>
      <c r="O352" s="6" t="str">
        <f t="shared" si="5"/>
        <v>Normal</v>
      </c>
    </row>
    <row r="353" spans="1:1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s="4"/>
      <c r="M353" t="s">
        <v>4278</v>
      </c>
      <c r="N353" s="6">
        <v>64.66</v>
      </c>
      <c r="O353" s="6" t="str">
        <f t="shared" si="5"/>
        <v>Normal</v>
      </c>
    </row>
    <row r="354" spans="1:1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  <c r="O354" s="6" t="str">
        <f t="shared" si="5"/>
        <v>Normal</v>
      </c>
    </row>
    <row r="355" spans="1:1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  <c r="O355" s="6" t="str">
        <f t="shared" si="5"/>
        <v>Normal</v>
      </c>
    </row>
    <row r="356" spans="1:1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s="4"/>
      <c r="M356" t="s">
        <v>4278</v>
      </c>
      <c r="N356" s="6">
        <v>693.41</v>
      </c>
      <c r="O356" s="6" t="str">
        <f t="shared" si="5"/>
        <v>Normal</v>
      </c>
    </row>
    <row r="357" spans="1:1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  <c r="O357" s="6" t="str">
        <f t="shared" si="5"/>
        <v>Normal</v>
      </c>
    </row>
    <row r="358" spans="1:1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  <c r="O358" s="6" t="str">
        <f t="shared" si="5"/>
        <v>Normal</v>
      </c>
    </row>
    <row r="359" spans="1:1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  <c r="O359" s="6" t="str">
        <f t="shared" si="5"/>
        <v>Normal</v>
      </c>
    </row>
    <row r="360" spans="1:1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  <c r="O360" s="6" t="str">
        <f t="shared" si="5"/>
        <v>Normal</v>
      </c>
    </row>
    <row r="361" spans="1:1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  <c r="O361" s="6" t="str">
        <f t="shared" si="5"/>
        <v>Normal</v>
      </c>
    </row>
    <row r="362" spans="1:1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s="4"/>
      <c r="M362" t="s">
        <v>4278</v>
      </c>
      <c r="N362" s="6">
        <v>2358.2800000000002</v>
      </c>
      <c r="O362" s="6" t="str">
        <f t="shared" si="5"/>
        <v>Normal</v>
      </c>
    </row>
    <row r="363" spans="1:1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  <c r="O363" s="6" t="str">
        <f t="shared" si="5"/>
        <v>Normal</v>
      </c>
    </row>
    <row r="364" spans="1:1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  <c r="O364" s="6" t="str">
        <f t="shared" si="5"/>
        <v>Normal</v>
      </c>
    </row>
    <row r="365" spans="1:1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  <c r="O365" s="6" t="str">
        <f t="shared" si="5"/>
        <v>Normal</v>
      </c>
    </row>
    <row r="366" spans="1:1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  <c r="O366" s="6" t="str">
        <f t="shared" si="5"/>
        <v>Normal</v>
      </c>
    </row>
    <row r="367" spans="1:1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  <c r="O367" s="6" t="str">
        <f t="shared" si="5"/>
        <v>Normal</v>
      </c>
    </row>
    <row r="368" spans="1:1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s="4"/>
      <c r="M368" t="s">
        <v>4279</v>
      </c>
      <c r="N368" s="6">
        <v>1806.72</v>
      </c>
      <c r="O368" s="6" t="str">
        <f t="shared" si="5"/>
        <v>Normal</v>
      </c>
    </row>
    <row r="369" spans="1:1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  <c r="O369" s="6" t="str">
        <f t="shared" si="5"/>
        <v>Normal</v>
      </c>
    </row>
    <row r="370" spans="1:1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s="4"/>
      <c r="M370" t="s">
        <v>4282</v>
      </c>
      <c r="N370" s="6">
        <v>813.06</v>
      </c>
      <c r="O370" s="6" t="str">
        <f t="shared" si="5"/>
        <v>Normal</v>
      </c>
    </row>
    <row r="371" spans="1:1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  <c r="O371" s="6" t="str">
        <f t="shared" si="5"/>
        <v>Normal</v>
      </c>
    </row>
    <row r="372" spans="1:1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  <c r="O372" s="6" t="str">
        <f t="shared" si="5"/>
        <v>Normal</v>
      </c>
    </row>
    <row r="373" spans="1:1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  <c r="O373" s="6" t="str">
        <f t="shared" si="5"/>
        <v>Normal</v>
      </c>
    </row>
    <row r="374" spans="1:1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s="4"/>
      <c r="M374" t="s">
        <v>4279</v>
      </c>
      <c r="N374" s="6">
        <v>1450.59</v>
      </c>
      <c r="O374" s="6" t="str">
        <f t="shared" si="5"/>
        <v>Normal</v>
      </c>
    </row>
    <row r="375" spans="1:1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  <c r="O375" s="6" t="str">
        <f t="shared" si="5"/>
        <v>Normal</v>
      </c>
    </row>
    <row r="376" spans="1:1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  <c r="O376" s="6" t="str">
        <f t="shared" si="5"/>
        <v>Normal</v>
      </c>
    </row>
    <row r="377" spans="1:1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  <c r="O377" s="6" t="str">
        <f t="shared" si="5"/>
        <v>Normal</v>
      </c>
    </row>
    <row r="378" spans="1:1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  <c r="O378" s="6" t="str">
        <f t="shared" si="5"/>
        <v>Normal</v>
      </c>
    </row>
    <row r="379" spans="1:1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  <c r="O379" s="6" t="str">
        <f t="shared" si="5"/>
        <v>Normal</v>
      </c>
    </row>
    <row r="380" spans="1:1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  <c r="O380" s="6" t="str">
        <f t="shared" si="5"/>
        <v>Normal</v>
      </c>
    </row>
    <row r="381" spans="1:1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s="4"/>
      <c r="M381" t="s">
        <v>4282</v>
      </c>
      <c r="N381" s="6">
        <v>893.01</v>
      </c>
      <c r="O381" s="6" t="str">
        <f t="shared" si="5"/>
        <v>Normal</v>
      </c>
    </row>
    <row r="382" spans="1:1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  <c r="O382" s="6" t="str">
        <f t="shared" si="5"/>
        <v>Normal</v>
      </c>
    </row>
    <row r="383" spans="1:1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  <c r="O383" s="6" t="str">
        <f t="shared" si="5"/>
        <v>Normal</v>
      </c>
    </row>
    <row r="384" spans="1:1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  <c r="O384" s="6" t="str">
        <f t="shared" si="5"/>
        <v>Normal</v>
      </c>
    </row>
    <row r="385" spans="1:1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  <c r="O385" s="6" t="str">
        <f t="shared" si="5"/>
        <v>Normal</v>
      </c>
    </row>
    <row r="386" spans="1:1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  <c r="O386" s="6" t="str">
        <f t="shared" si="5"/>
        <v>Normal</v>
      </c>
    </row>
    <row r="387" spans="1:1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  <c r="O387" s="6" t="str">
        <f t="shared" ref="O387:O450" si="6">IF(OR(N387&lt;$P$10,N387&gt;$P$13),"Outlier","Normal")</f>
        <v>Normal</v>
      </c>
    </row>
    <row r="388" spans="1:1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s="4"/>
      <c r="M388" t="s">
        <v>4280</v>
      </c>
      <c r="N388" s="6">
        <v>93.02</v>
      </c>
      <c r="O388" s="6" t="str">
        <f t="shared" si="6"/>
        <v>Normal</v>
      </c>
    </row>
    <row r="389" spans="1:1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  <c r="O389" s="6" t="str">
        <f t="shared" si="6"/>
        <v>Normal</v>
      </c>
    </row>
    <row r="390" spans="1:1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  <c r="O390" s="6" t="str">
        <f t="shared" si="6"/>
        <v>Normal</v>
      </c>
    </row>
    <row r="391" spans="1:1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  <c r="O391" s="6" t="str">
        <f t="shared" si="6"/>
        <v>Normal</v>
      </c>
    </row>
    <row r="392" spans="1:1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  <c r="O392" s="6" t="str">
        <f t="shared" si="6"/>
        <v>Normal</v>
      </c>
    </row>
    <row r="393" spans="1:1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  <c r="O393" s="6" t="str">
        <f t="shared" si="6"/>
        <v>Normal</v>
      </c>
    </row>
    <row r="394" spans="1:1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  <c r="O394" s="6" t="str">
        <f t="shared" si="6"/>
        <v>Normal</v>
      </c>
    </row>
    <row r="395" spans="1:1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s="4"/>
      <c r="M395" t="s">
        <v>4282</v>
      </c>
      <c r="N395" s="6">
        <v>75.010000000000005</v>
      </c>
      <c r="O395" s="6" t="str">
        <f t="shared" si="6"/>
        <v>Normal</v>
      </c>
    </row>
    <row r="396" spans="1:1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s="4"/>
      <c r="M396" t="s">
        <v>4281</v>
      </c>
      <c r="N396" s="6">
        <v>2647.75</v>
      </c>
      <c r="O396" s="6" t="str">
        <f t="shared" si="6"/>
        <v>Normal</v>
      </c>
    </row>
    <row r="397" spans="1:1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  <c r="O397" s="6" t="str">
        <f t="shared" si="6"/>
        <v>Normal</v>
      </c>
    </row>
    <row r="398" spans="1:1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  <c r="O398" s="6" t="str">
        <f t="shared" si="6"/>
        <v>Normal</v>
      </c>
    </row>
    <row r="399" spans="1:1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  <c r="O399" s="6" t="str">
        <f t="shared" si="6"/>
        <v>Normal</v>
      </c>
    </row>
    <row r="400" spans="1:1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  <c r="O400" s="6" t="str">
        <f t="shared" si="6"/>
        <v>Normal</v>
      </c>
    </row>
    <row r="401" spans="1:1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  <c r="O401" s="6" t="str">
        <f t="shared" si="6"/>
        <v>Normal</v>
      </c>
    </row>
    <row r="402" spans="1:1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  <c r="O402" s="6" t="str">
        <f t="shared" si="6"/>
        <v>Normal</v>
      </c>
    </row>
    <row r="403" spans="1:1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s="4"/>
      <c r="M403" t="s">
        <v>4279</v>
      </c>
      <c r="N403" s="6">
        <v>538.67999999999995</v>
      </c>
      <c r="O403" s="6" t="str">
        <f t="shared" si="6"/>
        <v>Normal</v>
      </c>
    </row>
    <row r="404" spans="1:1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s="4"/>
      <c r="M404" t="s">
        <v>4279</v>
      </c>
      <c r="N404" s="6">
        <v>1686.9</v>
      </c>
      <c r="O404" s="6" t="str">
        <f t="shared" si="6"/>
        <v>Normal</v>
      </c>
    </row>
    <row r="405" spans="1:1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  <c r="O405" s="6" t="str">
        <f t="shared" si="6"/>
        <v>Normal</v>
      </c>
    </row>
    <row r="406" spans="1:1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s="4"/>
      <c r="M406" t="s">
        <v>4278</v>
      </c>
      <c r="N406" s="6">
        <v>198.2</v>
      </c>
      <c r="O406" s="6" t="str">
        <f t="shared" si="6"/>
        <v>Normal</v>
      </c>
    </row>
    <row r="407" spans="1:1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  <c r="O407" s="6" t="str">
        <f t="shared" si="6"/>
        <v>Normal</v>
      </c>
    </row>
    <row r="408" spans="1:1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  <c r="O408" s="6" t="str">
        <f t="shared" si="6"/>
        <v>Normal</v>
      </c>
    </row>
    <row r="409" spans="1:1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  <c r="O409" s="6" t="str">
        <f t="shared" si="6"/>
        <v>Normal</v>
      </c>
    </row>
    <row r="410" spans="1:1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  <c r="O410" s="6" t="str">
        <f t="shared" si="6"/>
        <v>Normal</v>
      </c>
    </row>
    <row r="411" spans="1:1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  <c r="O411" s="6" t="str">
        <f t="shared" si="6"/>
        <v>Normal</v>
      </c>
    </row>
    <row r="412" spans="1:1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s="4"/>
      <c r="M412" t="s">
        <v>4280</v>
      </c>
      <c r="N412" s="6">
        <v>1036.46</v>
      </c>
      <c r="O412" s="6" t="str">
        <f t="shared" si="6"/>
        <v>Normal</v>
      </c>
    </row>
    <row r="413" spans="1:1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s="4"/>
      <c r="M413" t="s">
        <v>4281</v>
      </c>
      <c r="N413" s="6">
        <v>79.02</v>
      </c>
      <c r="O413" s="6" t="str">
        <f t="shared" si="6"/>
        <v>Normal</v>
      </c>
    </row>
    <row r="414" spans="1:1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s="4"/>
      <c r="M414" t="s">
        <v>4281</v>
      </c>
      <c r="N414" s="6">
        <v>665.05</v>
      </c>
      <c r="O414" s="6" t="str">
        <f t="shared" si="6"/>
        <v>Normal</v>
      </c>
    </row>
    <row r="415" spans="1:1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  <c r="O415" s="6" t="str">
        <f t="shared" si="6"/>
        <v>Normal</v>
      </c>
    </row>
    <row r="416" spans="1:1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  <c r="O416" s="6" t="str">
        <f t="shared" si="6"/>
        <v>Normal</v>
      </c>
    </row>
    <row r="417" spans="1:1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  <c r="O417" s="6" t="str">
        <f t="shared" si="6"/>
        <v>Normal</v>
      </c>
    </row>
    <row r="418" spans="1:1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  <c r="O418" s="6" t="str">
        <f t="shared" si="6"/>
        <v>Normal</v>
      </c>
    </row>
    <row r="419" spans="1:1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s="4"/>
      <c r="M419" t="s">
        <v>4282</v>
      </c>
      <c r="N419" s="6">
        <v>277.05</v>
      </c>
      <c r="O419" s="6" t="str">
        <f t="shared" si="6"/>
        <v>Normal</v>
      </c>
    </row>
    <row r="420" spans="1:1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s="4"/>
      <c r="M420" t="s">
        <v>4281</v>
      </c>
      <c r="N420" s="6">
        <v>310.93</v>
      </c>
      <c r="O420" s="6" t="str">
        <f t="shared" si="6"/>
        <v>Normal</v>
      </c>
    </row>
    <row r="421" spans="1:1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  <c r="O421" s="6" t="str">
        <f t="shared" si="6"/>
        <v>Normal</v>
      </c>
    </row>
    <row r="422" spans="1:1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  <c r="O422" s="6" t="str">
        <f t="shared" si="6"/>
        <v>Normal</v>
      </c>
    </row>
    <row r="423" spans="1:1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s="4"/>
      <c r="M423" t="s">
        <v>4280</v>
      </c>
      <c r="N423" s="6">
        <v>576.41999999999996</v>
      </c>
      <c r="O423" s="6" t="str">
        <f t="shared" si="6"/>
        <v>Normal</v>
      </c>
    </row>
    <row r="424" spans="1:1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  <c r="O424" s="6" t="str">
        <f t="shared" si="6"/>
        <v>Normal</v>
      </c>
    </row>
    <row r="425" spans="1:1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  <c r="O425" s="6" t="str">
        <f t="shared" si="6"/>
        <v>Normal</v>
      </c>
    </row>
    <row r="426" spans="1:1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s="4"/>
      <c r="M426" t="s">
        <v>4280</v>
      </c>
      <c r="N426" s="6">
        <v>114.7</v>
      </c>
      <c r="O426" s="6" t="str">
        <f t="shared" si="6"/>
        <v>Normal</v>
      </c>
    </row>
    <row r="427" spans="1:1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  <c r="O427" s="6" t="str">
        <f t="shared" si="6"/>
        <v>Normal</v>
      </c>
    </row>
    <row r="428" spans="1:1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s="4"/>
      <c r="M428" t="s">
        <v>4281</v>
      </c>
      <c r="N428" s="6">
        <v>287.25</v>
      </c>
      <c r="O428" s="6" t="str">
        <f t="shared" si="6"/>
        <v>Normal</v>
      </c>
    </row>
    <row r="429" spans="1:1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  <c r="O429" s="6" t="str">
        <f t="shared" si="6"/>
        <v>Normal</v>
      </c>
    </row>
    <row r="430" spans="1:1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  <c r="O430" s="6" t="str">
        <f t="shared" si="6"/>
        <v>Normal</v>
      </c>
    </row>
    <row r="431" spans="1:1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  <c r="O431" s="6" t="str">
        <f t="shared" si="6"/>
        <v>Normal</v>
      </c>
    </row>
    <row r="432" spans="1:1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  <c r="O432" s="6" t="str">
        <f t="shared" si="6"/>
        <v>Normal</v>
      </c>
    </row>
    <row r="433" spans="1:1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  <c r="O433" s="6" t="str">
        <f t="shared" si="6"/>
        <v>Normal</v>
      </c>
    </row>
    <row r="434" spans="1:1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s="4"/>
      <c r="M434" t="s">
        <v>4279</v>
      </c>
      <c r="N434" s="6">
        <v>848.64</v>
      </c>
      <c r="O434" s="6" t="str">
        <f t="shared" si="6"/>
        <v>Normal</v>
      </c>
    </row>
    <row r="435" spans="1:1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  <c r="O435" s="6" t="str">
        <f t="shared" si="6"/>
        <v>Normal</v>
      </c>
    </row>
    <row r="436" spans="1:1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s="4"/>
      <c r="M436" t="s">
        <v>4281</v>
      </c>
      <c r="N436" s="6">
        <v>1638.4</v>
      </c>
      <c r="O436" s="6" t="str">
        <f t="shared" si="6"/>
        <v>Normal</v>
      </c>
    </row>
    <row r="437" spans="1:1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  <c r="O437" s="6" t="str">
        <f t="shared" si="6"/>
        <v>Normal</v>
      </c>
    </row>
    <row r="438" spans="1:1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s="4"/>
      <c r="M438" t="s">
        <v>4282</v>
      </c>
      <c r="N438" s="6">
        <v>885.32</v>
      </c>
      <c r="O438" s="6" t="str">
        <f t="shared" si="6"/>
        <v>Normal</v>
      </c>
    </row>
    <row r="439" spans="1:1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  <c r="O439" s="6" t="str">
        <f t="shared" si="6"/>
        <v>Normal</v>
      </c>
    </row>
    <row r="440" spans="1:1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  <c r="O440" s="6" t="str">
        <f t="shared" si="6"/>
        <v>Normal</v>
      </c>
    </row>
    <row r="441" spans="1:1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  <c r="O441" s="6" t="str">
        <f t="shared" si="6"/>
        <v>Normal</v>
      </c>
    </row>
    <row r="442" spans="1:1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  <c r="O442" s="6" t="str">
        <f t="shared" si="6"/>
        <v>Normal</v>
      </c>
    </row>
    <row r="443" spans="1:1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  <c r="O443" s="6" t="str">
        <f t="shared" si="6"/>
        <v>Normal</v>
      </c>
    </row>
    <row r="444" spans="1:1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  <c r="O444" s="6" t="str">
        <f t="shared" si="6"/>
        <v>Normal</v>
      </c>
    </row>
    <row r="445" spans="1:1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s="4"/>
      <c r="M445" t="s">
        <v>4281</v>
      </c>
      <c r="N445" s="6">
        <v>139.28</v>
      </c>
      <c r="O445" s="6" t="str">
        <f t="shared" si="6"/>
        <v>Normal</v>
      </c>
    </row>
    <row r="446" spans="1:1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  <c r="O446" s="6" t="str">
        <f t="shared" si="6"/>
        <v>Normal</v>
      </c>
    </row>
    <row r="447" spans="1:1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  <c r="O447" s="6" t="str">
        <f t="shared" si="6"/>
        <v>Normal</v>
      </c>
    </row>
    <row r="448" spans="1:1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  <c r="O448" s="6" t="str">
        <f t="shared" si="6"/>
        <v>Normal</v>
      </c>
    </row>
    <row r="449" spans="1:1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s="4"/>
      <c r="M449" t="s">
        <v>4281</v>
      </c>
      <c r="N449" s="6">
        <v>833.62</v>
      </c>
      <c r="O449" s="6" t="str">
        <f t="shared" si="6"/>
        <v>Normal</v>
      </c>
    </row>
    <row r="450" spans="1:1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  <c r="O450" s="6" t="str">
        <f t="shared" si="6"/>
        <v>Normal</v>
      </c>
    </row>
    <row r="451" spans="1:1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s="4"/>
      <c r="M451" t="s">
        <v>4278</v>
      </c>
      <c r="N451" s="6">
        <v>759.15000000000009</v>
      </c>
      <c r="O451" s="6" t="str">
        <f t="shared" ref="O451:O514" si="7">IF(OR(N451&lt;$P$10,N451&gt;$P$13),"Outlier","Normal")</f>
        <v>Normal</v>
      </c>
    </row>
    <row r="452" spans="1:1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  <c r="O452" s="6" t="str">
        <f t="shared" si="7"/>
        <v>Normal</v>
      </c>
    </row>
    <row r="453" spans="1:1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  <c r="O453" s="6" t="str">
        <f t="shared" si="7"/>
        <v>Normal</v>
      </c>
    </row>
    <row r="454" spans="1:1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  <c r="O454" s="6" t="str">
        <f t="shared" si="7"/>
        <v>Normal</v>
      </c>
    </row>
    <row r="455" spans="1:1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  <c r="O455" s="6" t="str">
        <f t="shared" si="7"/>
        <v>Normal</v>
      </c>
    </row>
    <row r="456" spans="1:1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  <c r="O456" s="6" t="str">
        <f t="shared" si="7"/>
        <v>Normal</v>
      </c>
    </row>
    <row r="457" spans="1:1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  <c r="O457" s="6" t="str">
        <f t="shared" si="7"/>
        <v>Normal</v>
      </c>
    </row>
    <row r="458" spans="1:1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  <c r="O458" s="6" t="str">
        <f t="shared" si="7"/>
        <v>Normal</v>
      </c>
    </row>
    <row r="459" spans="1:1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  <c r="O459" s="6" t="str">
        <f t="shared" si="7"/>
        <v>Normal</v>
      </c>
    </row>
    <row r="460" spans="1:1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  <c r="O460" s="6" t="str">
        <f t="shared" si="7"/>
        <v>Normal</v>
      </c>
    </row>
    <row r="461" spans="1:1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s="4"/>
      <c r="M461" t="s">
        <v>4278</v>
      </c>
      <c r="N461" s="6">
        <v>334.39</v>
      </c>
      <c r="O461" s="6" t="str">
        <f t="shared" si="7"/>
        <v>Normal</v>
      </c>
    </row>
    <row r="462" spans="1:1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  <c r="O462" s="6" t="str">
        <f t="shared" si="7"/>
        <v>Normal</v>
      </c>
    </row>
    <row r="463" spans="1:1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  <c r="O463" s="6" t="str">
        <f t="shared" si="7"/>
        <v>Normal</v>
      </c>
    </row>
    <row r="464" spans="1:1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s="4"/>
      <c r="M464" t="s">
        <v>4279</v>
      </c>
      <c r="N464" s="6">
        <v>252.68</v>
      </c>
      <c r="O464" s="6" t="str">
        <f t="shared" si="7"/>
        <v>Normal</v>
      </c>
    </row>
    <row r="465" spans="1:1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  <c r="O465" s="6" t="str">
        <f t="shared" si="7"/>
        <v>Normal</v>
      </c>
    </row>
    <row r="466" spans="1:1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  <c r="O466" s="6" t="str">
        <f t="shared" si="7"/>
        <v>Normal</v>
      </c>
    </row>
    <row r="467" spans="1:1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s="4"/>
      <c r="M467" t="s">
        <v>4282</v>
      </c>
      <c r="N467" s="6">
        <v>2567.4499999999998</v>
      </c>
      <c r="O467" s="6" t="str">
        <f t="shared" si="7"/>
        <v>Normal</v>
      </c>
    </row>
    <row r="468" spans="1:1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  <c r="O468" s="6" t="str">
        <f t="shared" si="7"/>
        <v>Normal</v>
      </c>
    </row>
    <row r="469" spans="1:1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  <c r="O469" s="6" t="str">
        <f t="shared" si="7"/>
        <v>Normal</v>
      </c>
    </row>
    <row r="470" spans="1:1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  <c r="O470" s="6" t="str">
        <f t="shared" si="7"/>
        <v>Normal</v>
      </c>
    </row>
    <row r="471" spans="1:1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s="4"/>
      <c r="M471" t="s">
        <v>4281</v>
      </c>
      <c r="N471" s="6">
        <v>3384.9</v>
      </c>
      <c r="O471" s="6" t="str">
        <f t="shared" si="7"/>
        <v>Outlier</v>
      </c>
    </row>
    <row r="472" spans="1:1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  <c r="O472" s="6" t="str">
        <f t="shared" si="7"/>
        <v>Normal</v>
      </c>
    </row>
    <row r="473" spans="1:1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  <c r="O473" s="6" t="str">
        <f t="shared" si="7"/>
        <v>Normal</v>
      </c>
    </row>
    <row r="474" spans="1:1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  <c r="O474" s="6" t="str">
        <f t="shared" si="7"/>
        <v>Normal</v>
      </c>
    </row>
    <row r="475" spans="1:1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s="4"/>
      <c r="M475" t="s">
        <v>4281</v>
      </c>
      <c r="N475" s="6">
        <v>29.86</v>
      </c>
      <c r="O475" s="6" t="str">
        <f t="shared" si="7"/>
        <v>Normal</v>
      </c>
    </row>
    <row r="476" spans="1:1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  <c r="O476" s="6" t="str">
        <f t="shared" si="7"/>
        <v>Normal</v>
      </c>
    </row>
    <row r="477" spans="1:1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  <c r="O477" s="6" t="str">
        <f t="shared" si="7"/>
        <v>Normal</v>
      </c>
    </row>
    <row r="478" spans="1:1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  <c r="O478" s="6" t="str">
        <f t="shared" si="7"/>
        <v>Normal</v>
      </c>
    </row>
    <row r="479" spans="1:1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  <c r="O479" s="6" t="str">
        <f t="shared" si="7"/>
        <v>Normal</v>
      </c>
    </row>
    <row r="480" spans="1:1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  <c r="O480" s="6" t="str">
        <f t="shared" si="7"/>
        <v>Normal</v>
      </c>
    </row>
    <row r="481" spans="1:1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s="4"/>
      <c r="M481" t="s">
        <v>4282</v>
      </c>
      <c r="N481" s="6">
        <v>101.16</v>
      </c>
      <c r="O481" s="6" t="str">
        <f t="shared" si="7"/>
        <v>Normal</v>
      </c>
    </row>
    <row r="482" spans="1:1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  <c r="O482" s="6" t="str">
        <f t="shared" si="7"/>
        <v>Normal</v>
      </c>
    </row>
    <row r="483" spans="1:1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  <c r="O483" s="6" t="str">
        <f t="shared" si="7"/>
        <v>Normal</v>
      </c>
    </row>
    <row r="484" spans="1:1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s="4"/>
      <c r="M484" t="s">
        <v>4278</v>
      </c>
      <c r="N484" s="6">
        <v>1144.23</v>
      </c>
      <c r="O484" s="6" t="str">
        <f t="shared" si="7"/>
        <v>Normal</v>
      </c>
    </row>
    <row r="485" spans="1:1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  <c r="O485" s="6" t="str">
        <f t="shared" si="7"/>
        <v>Normal</v>
      </c>
    </row>
    <row r="486" spans="1:1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s="4"/>
      <c r="M486" t="s">
        <v>4281</v>
      </c>
      <c r="N486" s="6">
        <v>60.04</v>
      </c>
      <c r="O486" s="6" t="str">
        <f t="shared" si="7"/>
        <v>Normal</v>
      </c>
    </row>
    <row r="487" spans="1:1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  <c r="O487" s="6" t="str">
        <f t="shared" si="7"/>
        <v>Normal</v>
      </c>
    </row>
    <row r="488" spans="1:1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  <c r="O488" s="6" t="str">
        <f t="shared" si="7"/>
        <v>Normal</v>
      </c>
    </row>
    <row r="489" spans="1:1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  <c r="O489" s="6" t="str">
        <f t="shared" si="7"/>
        <v>Normal</v>
      </c>
    </row>
    <row r="490" spans="1:1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  <c r="O490" s="6" t="str">
        <f t="shared" si="7"/>
        <v>Normal</v>
      </c>
    </row>
    <row r="491" spans="1:1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  <c r="O491" s="6" t="str">
        <f t="shared" si="7"/>
        <v>Normal</v>
      </c>
    </row>
    <row r="492" spans="1:1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s="4"/>
      <c r="M492" t="s">
        <v>4281</v>
      </c>
      <c r="N492" s="6">
        <v>2339.0500000000002</v>
      </c>
      <c r="O492" s="6" t="str">
        <f t="shared" si="7"/>
        <v>Normal</v>
      </c>
    </row>
    <row r="493" spans="1:1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  <c r="O493" s="6" t="str">
        <f t="shared" si="7"/>
        <v>Normal</v>
      </c>
    </row>
    <row r="494" spans="1:1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  <c r="O494" s="6" t="str">
        <f t="shared" si="7"/>
        <v>Normal</v>
      </c>
    </row>
    <row r="495" spans="1:1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  <c r="O495" s="6" t="str">
        <f t="shared" si="7"/>
        <v>Normal</v>
      </c>
    </row>
    <row r="496" spans="1:1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  <c r="O496" s="6" t="str">
        <f t="shared" si="7"/>
        <v>Normal</v>
      </c>
    </row>
    <row r="497" spans="1:1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  <c r="O497" s="6" t="str">
        <f t="shared" si="7"/>
        <v>Normal</v>
      </c>
    </row>
    <row r="498" spans="1:1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  <c r="O498" s="6" t="str">
        <f t="shared" si="7"/>
        <v>Normal</v>
      </c>
    </row>
    <row r="499" spans="1:1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s="4"/>
      <c r="M499" t="s">
        <v>4282</v>
      </c>
      <c r="N499" s="6">
        <v>336.87</v>
      </c>
      <c r="O499" s="6" t="str">
        <f t="shared" si="7"/>
        <v>Normal</v>
      </c>
    </row>
    <row r="500" spans="1:1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  <c r="O500" s="6" t="str">
        <f t="shared" si="7"/>
        <v>Normal</v>
      </c>
    </row>
    <row r="501" spans="1:1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  <c r="O501" s="6" t="str">
        <f t="shared" si="7"/>
        <v>Normal</v>
      </c>
    </row>
    <row r="502" spans="1:1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  <c r="O502" s="6" t="str">
        <f t="shared" si="7"/>
        <v>Normal</v>
      </c>
    </row>
    <row r="503" spans="1:1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  <c r="O503" s="6" t="str">
        <f t="shared" si="7"/>
        <v>Normal</v>
      </c>
    </row>
    <row r="504" spans="1:1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  <c r="O504" s="6" t="str">
        <f t="shared" si="7"/>
        <v>Normal</v>
      </c>
    </row>
    <row r="505" spans="1:1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  <c r="O505" s="6" t="str">
        <f t="shared" si="7"/>
        <v>Normal</v>
      </c>
    </row>
    <row r="506" spans="1:1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  <c r="O506" s="6" t="str">
        <f t="shared" si="7"/>
        <v>Normal</v>
      </c>
    </row>
    <row r="507" spans="1:1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s="4"/>
      <c r="M507" t="s">
        <v>4280</v>
      </c>
      <c r="N507" s="6">
        <v>869.94</v>
      </c>
      <c r="O507" s="6" t="str">
        <f t="shared" si="7"/>
        <v>Normal</v>
      </c>
    </row>
    <row r="508" spans="1:1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  <c r="O508" s="6" t="str">
        <f t="shared" si="7"/>
        <v>Normal</v>
      </c>
    </row>
    <row r="509" spans="1:1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  <c r="O509" s="6" t="str">
        <f t="shared" si="7"/>
        <v>Normal</v>
      </c>
    </row>
    <row r="510" spans="1:1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s="4"/>
      <c r="M510" t="s">
        <v>4279</v>
      </c>
      <c r="N510" s="6">
        <v>558.27</v>
      </c>
      <c r="O510" s="6" t="str">
        <f t="shared" si="7"/>
        <v>Normal</v>
      </c>
    </row>
    <row r="511" spans="1:1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  <c r="O511" s="6" t="str">
        <f t="shared" si="7"/>
        <v>Normal</v>
      </c>
    </row>
    <row r="512" spans="1:1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  <c r="O512" s="6" t="str">
        <f t="shared" si="7"/>
        <v>Normal</v>
      </c>
    </row>
    <row r="513" spans="1:1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  <c r="O513" s="6" t="str">
        <f t="shared" si="7"/>
        <v>Normal</v>
      </c>
    </row>
    <row r="514" spans="1:1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  <c r="O514" s="6" t="str">
        <f t="shared" si="7"/>
        <v>Normal</v>
      </c>
    </row>
    <row r="515" spans="1:1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s="4"/>
      <c r="M515" t="s">
        <v>4279</v>
      </c>
      <c r="N515" s="6">
        <v>284.64</v>
      </c>
      <c r="O515" s="6" t="str">
        <f t="shared" ref="O515:O578" si="8">IF(OR(N515&lt;$P$10,N515&gt;$P$13),"Outlier","Normal")</f>
        <v>Normal</v>
      </c>
    </row>
    <row r="516" spans="1:1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  <c r="O516" s="6" t="str">
        <f t="shared" si="8"/>
        <v>Normal</v>
      </c>
    </row>
    <row r="517" spans="1:1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  <c r="O517" s="6" t="str">
        <f t="shared" si="8"/>
        <v>Normal</v>
      </c>
    </row>
    <row r="518" spans="1:1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s="4"/>
      <c r="M518" t="s">
        <v>4281</v>
      </c>
      <c r="N518" s="6">
        <v>500.97</v>
      </c>
      <c r="O518" s="6" t="str">
        <f t="shared" si="8"/>
        <v>Normal</v>
      </c>
    </row>
    <row r="519" spans="1:1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  <c r="O519" s="6" t="str">
        <f t="shared" si="8"/>
        <v>Normal</v>
      </c>
    </row>
    <row r="520" spans="1:1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  <c r="O520" s="6" t="str">
        <f t="shared" si="8"/>
        <v>Normal</v>
      </c>
    </row>
    <row r="521" spans="1:1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  <c r="O521" s="6" t="str">
        <f t="shared" si="8"/>
        <v>Normal</v>
      </c>
    </row>
    <row r="522" spans="1:1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s="4"/>
      <c r="M522" t="s">
        <v>4279</v>
      </c>
      <c r="N522" s="6">
        <v>1907.94</v>
      </c>
      <c r="O522" s="6" t="str">
        <f t="shared" si="8"/>
        <v>Normal</v>
      </c>
    </row>
    <row r="523" spans="1:1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s="4"/>
      <c r="M523" t="s">
        <v>4281</v>
      </c>
      <c r="N523" s="6">
        <v>528.05999999999995</v>
      </c>
      <c r="O523" s="6" t="str">
        <f t="shared" si="8"/>
        <v>Normal</v>
      </c>
    </row>
    <row r="524" spans="1:1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  <c r="O524" s="6" t="str">
        <f t="shared" si="8"/>
        <v>Normal</v>
      </c>
    </row>
    <row r="525" spans="1:1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  <c r="O525" s="6" t="str">
        <f t="shared" si="8"/>
        <v>Normal</v>
      </c>
    </row>
    <row r="526" spans="1:1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s="4"/>
      <c r="M526" t="s">
        <v>4279</v>
      </c>
      <c r="N526" s="6">
        <v>153</v>
      </c>
      <c r="O526" s="6" t="str">
        <f t="shared" si="8"/>
        <v>Normal</v>
      </c>
    </row>
    <row r="527" spans="1:1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  <c r="O527" s="6" t="str">
        <f t="shared" si="8"/>
        <v>Normal</v>
      </c>
    </row>
    <row r="528" spans="1:1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  <c r="O528" s="6" t="str">
        <f t="shared" si="8"/>
        <v>Normal</v>
      </c>
    </row>
    <row r="529" spans="1:1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  <c r="O529" s="6" t="str">
        <f t="shared" si="8"/>
        <v>Normal</v>
      </c>
    </row>
    <row r="530" spans="1:1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  <c r="O530" s="6" t="str">
        <f t="shared" si="8"/>
        <v>Normal</v>
      </c>
    </row>
    <row r="531" spans="1:1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  <c r="O531" s="6" t="str">
        <f t="shared" si="8"/>
        <v>Normal</v>
      </c>
    </row>
    <row r="532" spans="1:1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s="4"/>
      <c r="M532" t="s">
        <v>4282</v>
      </c>
      <c r="N532" s="6">
        <v>357.64</v>
      </c>
      <c r="O532" s="6" t="str">
        <f t="shared" si="8"/>
        <v>Normal</v>
      </c>
    </row>
    <row r="533" spans="1:1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s="4"/>
      <c r="M533" t="s">
        <v>4279</v>
      </c>
      <c r="N533" s="6">
        <v>1600.05</v>
      </c>
      <c r="O533" s="6" t="str">
        <f t="shared" si="8"/>
        <v>Normal</v>
      </c>
    </row>
    <row r="534" spans="1:1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s="4"/>
      <c r="M534" t="s">
        <v>4280</v>
      </c>
      <c r="N534" s="6">
        <v>82</v>
      </c>
      <c r="O534" s="6" t="str">
        <f t="shared" si="8"/>
        <v>Normal</v>
      </c>
    </row>
    <row r="535" spans="1:1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  <c r="O535" s="6" t="str">
        <f t="shared" si="8"/>
        <v>Normal</v>
      </c>
    </row>
    <row r="536" spans="1:1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  <c r="O536" s="6" t="str">
        <f t="shared" si="8"/>
        <v>Normal</v>
      </c>
    </row>
    <row r="537" spans="1:1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  <c r="O537" s="6" t="str">
        <f t="shared" si="8"/>
        <v>Normal</v>
      </c>
    </row>
    <row r="538" spans="1:1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s="4"/>
      <c r="M538" t="s">
        <v>4280</v>
      </c>
      <c r="N538" s="6">
        <v>616.1</v>
      </c>
      <c r="O538" s="6" t="str">
        <f t="shared" si="8"/>
        <v>Normal</v>
      </c>
    </row>
    <row r="539" spans="1:1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  <c r="O539" s="6" t="str">
        <f t="shared" si="8"/>
        <v>Normal</v>
      </c>
    </row>
    <row r="540" spans="1:1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  <c r="O540" s="6" t="str">
        <f t="shared" si="8"/>
        <v>Normal</v>
      </c>
    </row>
    <row r="541" spans="1:1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  <c r="O541" s="6" t="str">
        <f t="shared" si="8"/>
        <v>Normal</v>
      </c>
    </row>
    <row r="542" spans="1:1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s="4"/>
      <c r="M542" t="s">
        <v>4279</v>
      </c>
      <c r="N542" s="6">
        <v>3243.25</v>
      </c>
      <c r="O542" s="6" t="str">
        <f t="shared" si="8"/>
        <v>Normal</v>
      </c>
    </row>
    <row r="543" spans="1:1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s="4"/>
      <c r="M543" t="s">
        <v>4278</v>
      </c>
      <c r="N543" s="6">
        <v>2280.3000000000002</v>
      </c>
      <c r="O543" s="6" t="str">
        <f t="shared" si="8"/>
        <v>Normal</v>
      </c>
    </row>
    <row r="544" spans="1:1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  <c r="O544" s="6" t="str">
        <f t="shared" si="8"/>
        <v>Normal</v>
      </c>
    </row>
    <row r="545" spans="1:1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  <c r="O545" s="6" t="str">
        <f t="shared" si="8"/>
        <v>Normal</v>
      </c>
    </row>
    <row r="546" spans="1:1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  <c r="O546" s="6" t="str">
        <f t="shared" si="8"/>
        <v>Normal</v>
      </c>
    </row>
    <row r="547" spans="1:1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s="4"/>
      <c r="M547" t="s">
        <v>4278</v>
      </c>
      <c r="N547" s="6">
        <v>196.94</v>
      </c>
      <c r="O547" s="6" t="str">
        <f t="shared" si="8"/>
        <v>Normal</v>
      </c>
    </row>
    <row r="548" spans="1:1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  <c r="O548" s="6" t="str">
        <f t="shared" si="8"/>
        <v>Normal</v>
      </c>
    </row>
    <row r="549" spans="1:1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  <c r="O549" s="6" t="str">
        <f t="shared" si="8"/>
        <v>Normal</v>
      </c>
    </row>
    <row r="550" spans="1:1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  <c r="O550" s="6" t="str">
        <f t="shared" si="8"/>
        <v>Normal</v>
      </c>
    </row>
    <row r="551" spans="1:1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  <c r="O551" s="6" t="str">
        <f t="shared" si="8"/>
        <v>Normal</v>
      </c>
    </row>
    <row r="552" spans="1:1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  <c r="O552" s="6" t="str">
        <f t="shared" si="8"/>
        <v>Normal</v>
      </c>
    </row>
    <row r="553" spans="1:1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  <c r="O553" s="6" t="str">
        <f t="shared" si="8"/>
        <v>Normal</v>
      </c>
    </row>
    <row r="554" spans="1:1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  <c r="O554" s="6" t="str">
        <f t="shared" si="8"/>
        <v>Normal</v>
      </c>
    </row>
    <row r="555" spans="1:1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  <c r="O555" s="6" t="str">
        <f t="shared" si="8"/>
        <v>Normal</v>
      </c>
    </row>
    <row r="556" spans="1:1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  <c r="O556" s="6" t="str">
        <f t="shared" si="8"/>
        <v>Normal</v>
      </c>
    </row>
    <row r="557" spans="1:1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s="4"/>
      <c r="M557" t="s">
        <v>4281</v>
      </c>
      <c r="N557" s="6">
        <v>92.04</v>
      </c>
      <c r="O557" s="6" t="str">
        <f t="shared" si="8"/>
        <v>Normal</v>
      </c>
    </row>
    <row r="558" spans="1:1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  <c r="O558" s="6" t="str">
        <f t="shared" si="8"/>
        <v>Normal</v>
      </c>
    </row>
    <row r="559" spans="1:1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  <c r="O559" s="6" t="str">
        <f t="shared" si="8"/>
        <v>Normal</v>
      </c>
    </row>
    <row r="560" spans="1:1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  <c r="O560" s="6" t="str">
        <f t="shared" si="8"/>
        <v>Normal</v>
      </c>
    </row>
    <row r="561" spans="1:1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  <c r="O561" s="6" t="str">
        <f t="shared" si="8"/>
        <v>Normal</v>
      </c>
    </row>
    <row r="562" spans="1:1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s="4"/>
      <c r="M562" t="s">
        <v>4280</v>
      </c>
      <c r="N562" s="6">
        <v>2355.4</v>
      </c>
      <c r="O562" s="6" t="str">
        <f t="shared" si="8"/>
        <v>Normal</v>
      </c>
    </row>
    <row r="563" spans="1:1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s="4"/>
      <c r="M563" t="s">
        <v>4282</v>
      </c>
      <c r="N563" s="6">
        <v>989.56</v>
      </c>
      <c r="O563" s="6" t="str">
        <f t="shared" si="8"/>
        <v>Normal</v>
      </c>
    </row>
    <row r="564" spans="1:1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  <c r="O564" s="6" t="str">
        <f t="shared" si="8"/>
        <v>Normal</v>
      </c>
    </row>
    <row r="565" spans="1:1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  <c r="O565" s="6" t="str">
        <f t="shared" si="8"/>
        <v>Normal</v>
      </c>
    </row>
    <row r="566" spans="1:1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  <c r="O566" s="6" t="str">
        <f t="shared" si="8"/>
        <v>Normal</v>
      </c>
    </row>
    <row r="567" spans="1:1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s="4"/>
      <c r="M567" t="s">
        <v>4281</v>
      </c>
      <c r="N567" s="6">
        <v>1539.9</v>
      </c>
      <c r="O567" s="6" t="str">
        <f t="shared" si="8"/>
        <v>Normal</v>
      </c>
    </row>
    <row r="568" spans="1:1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  <c r="O568" s="6" t="str">
        <f t="shared" si="8"/>
        <v>Normal</v>
      </c>
    </row>
    <row r="569" spans="1:1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  <c r="O569" s="6" t="str">
        <f t="shared" si="8"/>
        <v>Normal</v>
      </c>
    </row>
    <row r="570" spans="1:1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s="4"/>
      <c r="M570" t="s">
        <v>4282</v>
      </c>
      <c r="N570" s="6">
        <v>687.98</v>
      </c>
      <c r="O570" s="6" t="str">
        <f t="shared" si="8"/>
        <v>Normal</v>
      </c>
    </row>
    <row r="571" spans="1:1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  <c r="O571" s="6" t="str">
        <f t="shared" si="8"/>
        <v>Normal</v>
      </c>
    </row>
    <row r="572" spans="1:1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  <c r="O572" s="6" t="str">
        <f t="shared" si="8"/>
        <v>Normal</v>
      </c>
    </row>
    <row r="573" spans="1:1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  <c r="O573" s="6" t="str">
        <f t="shared" si="8"/>
        <v>Normal</v>
      </c>
    </row>
    <row r="574" spans="1:1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  <c r="O574" s="6" t="str">
        <f t="shared" si="8"/>
        <v>Normal</v>
      </c>
    </row>
    <row r="575" spans="1:1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s="4"/>
      <c r="M575" t="s">
        <v>4278</v>
      </c>
      <c r="N575" s="6">
        <v>2107.1</v>
      </c>
      <c r="O575" s="6" t="str">
        <f t="shared" si="8"/>
        <v>Normal</v>
      </c>
    </row>
    <row r="576" spans="1:1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  <c r="O576" s="6" t="str">
        <f t="shared" si="8"/>
        <v>Normal</v>
      </c>
    </row>
    <row r="577" spans="1:1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  <c r="O577" s="6" t="str">
        <f t="shared" si="8"/>
        <v>Normal</v>
      </c>
    </row>
    <row r="578" spans="1:1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s="4"/>
      <c r="M578" t="s">
        <v>4281</v>
      </c>
      <c r="N578" s="6">
        <v>395.4</v>
      </c>
      <c r="O578" s="6" t="str">
        <f t="shared" si="8"/>
        <v>Normal</v>
      </c>
    </row>
    <row r="579" spans="1:1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  <c r="O579" s="6" t="str">
        <f t="shared" ref="O579:O642" si="9">IF(OR(N579&lt;$P$10,N579&gt;$P$13),"Outlier","Normal")</f>
        <v>Normal</v>
      </c>
    </row>
    <row r="580" spans="1:1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  <c r="O580" s="6" t="str">
        <f t="shared" si="9"/>
        <v>Normal</v>
      </c>
    </row>
    <row r="581" spans="1:1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  <c r="O581" s="6" t="str">
        <f t="shared" si="9"/>
        <v>Normal</v>
      </c>
    </row>
    <row r="582" spans="1:1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  <c r="O582" s="6" t="str">
        <f t="shared" si="9"/>
        <v>Normal</v>
      </c>
    </row>
    <row r="583" spans="1:1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s="4"/>
      <c r="M583" t="s">
        <v>4279</v>
      </c>
      <c r="N583" s="6">
        <v>627.34</v>
      </c>
      <c r="O583" s="6" t="str">
        <f t="shared" si="9"/>
        <v>Normal</v>
      </c>
    </row>
    <row r="584" spans="1:1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  <c r="O584" s="6" t="str">
        <f t="shared" si="9"/>
        <v>Normal</v>
      </c>
    </row>
    <row r="585" spans="1:1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s="4"/>
      <c r="M585" t="s">
        <v>4278</v>
      </c>
      <c r="N585" s="6">
        <v>463.11</v>
      </c>
      <c r="O585" s="6" t="str">
        <f t="shared" si="9"/>
        <v>Normal</v>
      </c>
    </row>
    <row r="586" spans="1:1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  <c r="O586" s="6" t="str">
        <f t="shared" si="9"/>
        <v>Normal</v>
      </c>
    </row>
    <row r="587" spans="1:1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  <c r="O587" s="6" t="str">
        <f t="shared" si="9"/>
        <v>Normal</v>
      </c>
    </row>
    <row r="588" spans="1:1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  <c r="O588" s="6" t="str">
        <f t="shared" si="9"/>
        <v>Normal</v>
      </c>
    </row>
    <row r="589" spans="1:1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  <c r="O589" s="6" t="str">
        <f t="shared" si="9"/>
        <v>Normal</v>
      </c>
    </row>
    <row r="590" spans="1:1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s="4"/>
      <c r="M590" t="s">
        <v>4282</v>
      </c>
      <c r="N590" s="6">
        <v>2311.2800000000002</v>
      </c>
      <c r="O590" s="6" t="str">
        <f t="shared" si="9"/>
        <v>Normal</v>
      </c>
    </row>
    <row r="591" spans="1:1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  <c r="O591" s="6" t="str">
        <f t="shared" si="9"/>
        <v>Normal</v>
      </c>
    </row>
    <row r="592" spans="1:1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s="4"/>
      <c r="M592" t="s">
        <v>4280</v>
      </c>
      <c r="N592" s="6">
        <v>922.26</v>
      </c>
      <c r="O592" s="6" t="str">
        <f t="shared" si="9"/>
        <v>Normal</v>
      </c>
    </row>
    <row r="593" spans="1:1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  <c r="O593" s="6" t="str">
        <f t="shared" si="9"/>
        <v>Normal</v>
      </c>
    </row>
    <row r="594" spans="1:1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s="4"/>
      <c r="M594" t="s">
        <v>4282</v>
      </c>
      <c r="N594" s="6">
        <v>612.81000000000006</v>
      </c>
      <c r="O594" s="6" t="str">
        <f t="shared" si="9"/>
        <v>Normal</v>
      </c>
    </row>
    <row r="595" spans="1:1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  <c r="O595" s="6" t="str">
        <f t="shared" si="9"/>
        <v>Normal</v>
      </c>
    </row>
    <row r="596" spans="1:1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s="4"/>
      <c r="M596" t="s">
        <v>4280</v>
      </c>
      <c r="N596" s="6">
        <v>363.2</v>
      </c>
      <c r="O596" s="6" t="str">
        <f t="shared" si="9"/>
        <v>Normal</v>
      </c>
    </row>
    <row r="597" spans="1:1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  <c r="O597" s="6" t="str">
        <f t="shared" si="9"/>
        <v>Normal</v>
      </c>
    </row>
    <row r="598" spans="1:1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  <c r="O598" s="6" t="str">
        <f t="shared" si="9"/>
        <v>Normal</v>
      </c>
    </row>
    <row r="599" spans="1:1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  <c r="O599" s="6" t="str">
        <f t="shared" si="9"/>
        <v>Normal</v>
      </c>
    </row>
    <row r="600" spans="1:1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s="4"/>
      <c r="M600" t="s">
        <v>4281</v>
      </c>
      <c r="N600" s="6">
        <v>2476.75</v>
      </c>
      <c r="O600" s="6" t="str">
        <f t="shared" si="9"/>
        <v>Normal</v>
      </c>
    </row>
    <row r="601" spans="1:1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  <c r="O601" s="6" t="str">
        <f t="shared" si="9"/>
        <v>Normal</v>
      </c>
    </row>
    <row r="602" spans="1:1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  <c r="O602" s="6" t="str">
        <f t="shared" si="9"/>
        <v>Normal</v>
      </c>
    </row>
    <row r="603" spans="1:1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s="4"/>
      <c r="M603" t="s">
        <v>4279</v>
      </c>
      <c r="N603" s="6">
        <v>124.1</v>
      </c>
      <c r="O603" s="6" t="str">
        <f t="shared" si="9"/>
        <v>Normal</v>
      </c>
    </row>
    <row r="604" spans="1:1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  <c r="O604" s="6" t="str">
        <f t="shared" si="9"/>
        <v>Normal</v>
      </c>
    </row>
    <row r="605" spans="1:1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  <c r="O605" s="6" t="str">
        <f t="shared" si="9"/>
        <v>Normal</v>
      </c>
    </row>
    <row r="606" spans="1:1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s="4"/>
      <c r="M606" t="s">
        <v>4281</v>
      </c>
      <c r="N606" s="6">
        <v>97.859999999999985</v>
      </c>
      <c r="O606" s="6" t="str">
        <f t="shared" si="9"/>
        <v>Normal</v>
      </c>
    </row>
    <row r="607" spans="1:1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  <c r="O607" s="6" t="str">
        <f t="shared" si="9"/>
        <v>Normal</v>
      </c>
    </row>
    <row r="608" spans="1:1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  <c r="O608" s="6" t="str">
        <f t="shared" si="9"/>
        <v>Normal</v>
      </c>
    </row>
    <row r="609" spans="1:1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  <c r="O609" s="6" t="str">
        <f t="shared" si="9"/>
        <v>Normal</v>
      </c>
    </row>
    <row r="610" spans="1:1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  <c r="O610" s="6" t="str">
        <f t="shared" si="9"/>
        <v>Normal</v>
      </c>
    </row>
    <row r="611" spans="1:1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  <c r="O611" s="6" t="str">
        <f t="shared" si="9"/>
        <v>Normal</v>
      </c>
    </row>
    <row r="612" spans="1:1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  <c r="O612" s="6" t="str">
        <f t="shared" si="9"/>
        <v>Normal</v>
      </c>
    </row>
    <row r="613" spans="1:1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  <c r="O613" s="6" t="str">
        <f t="shared" si="9"/>
        <v>Normal</v>
      </c>
    </row>
    <row r="614" spans="1:1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s="4"/>
      <c r="M614" t="s">
        <v>4282</v>
      </c>
      <c r="N614" s="6">
        <v>1335.36</v>
      </c>
      <c r="O614" s="6" t="str">
        <f t="shared" si="9"/>
        <v>Normal</v>
      </c>
    </row>
    <row r="615" spans="1:1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  <c r="O615" s="6" t="str">
        <f t="shared" si="9"/>
        <v>Normal</v>
      </c>
    </row>
    <row r="616" spans="1:1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s="4"/>
      <c r="M616" t="s">
        <v>4279</v>
      </c>
      <c r="N616" s="6">
        <v>96.81</v>
      </c>
      <c r="O616" s="6" t="str">
        <f t="shared" si="9"/>
        <v>Normal</v>
      </c>
    </row>
    <row r="617" spans="1:1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  <c r="O617" s="6" t="str">
        <f t="shared" si="9"/>
        <v>Normal</v>
      </c>
    </row>
    <row r="618" spans="1:1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  <c r="O618" s="6" t="str">
        <f t="shared" si="9"/>
        <v>Normal</v>
      </c>
    </row>
    <row r="619" spans="1:1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s="4"/>
      <c r="M619" t="s">
        <v>4279</v>
      </c>
      <c r="N619" s="6">
        <v>553.41</v>
      </c>
      <c r="O619" s="6" t="str">
        <f t="shared" si="9"/>
        <v>Normal</v>
      </c>
    </row>
    <row r="620" spans="1:1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s="4"/>
      <c r="M620" t="s">
        <v>4278</v>
      </c>
      <c r="N620" s="6">
        <v>411.34</v>
      </c>
      <c r="O620" s="6" t="str">
        <f t="shared" si="9"/>
        <v>Normal</v>
      </c>
    </row>
    <row r="621" spans="1:1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s="4"/>
      <c r="M621" t="s">
        <v>4279</v>
      </c>
      <c r="N621" s="6">
        <v>532.89</v>
      </c>
      <c r="O621" s="6" t="str">
        <f t="shared" si="9"/>
        <v>Normal</v>
      </c>
    </row>
    <row r="622" spans="1:1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  <c r="O622" s="6" t="str">
        <f t="shared" si="9"/>
        <v>Normal</v>
      </c>
    </row>
    <row r="623" spans="1:1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  <c r="O623" s="6" t="str">
        <f t="shared" si="9"/>
        <v>Normal</v>
      </c>
    </row>
    <row r="624" spans="1:1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s="4"/>
      <c r="M624" t="s">
        <v>4281</v>
      </c>
      <c r="N624" s="6">
        <v>1181.9000000000001</v>
      </c>
      <c r="O624" s="6" t="str">
        <f t="shared" si="9"/>
        <v>Normal</v>
      </c>
    </row>
    <row r="625" spans="1:1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  <c r="O625" s="6" t="str">
        <f t="shared" si="9"/>
        <v>Normal</v>
      </c>
    </row>
    <row r="626" spans="1:1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s="4"/>
      <c r="M626" t="s">
        <v>4280</v>
      </c>
      <c r="N626" s="6">
        <v>1709.8</v>
      </c>
      <c r="O626" s="6" t="str">
        <f t="shared" si="9"/>
        <v>Normal</v>
      </c>
    </row>
    <row r="627" spans="1:1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  <c r="O627" s="6" t="str">
        <f t="shared" si="9"/>
        <v>Normal</v>
      </c>
    </row>
    <row r="628" spans="1:1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  <c r="O628" s="6" t="str">
        <f t="shared" si="9"/>
        <v>Normal</v>
      </c>
    </row>
    <row r="629" spans="1:1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  <c r="O629" s="6" t="str">
        <f t="shared" si="9"/>
        <v>Normal</v>
      </c>
    </row>
    <row r="630" spans="1:1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  <c r="O630" s="6" t="str">
        <f t="shared" si="9"/>
        <v>Normal</v>
      </c>
    </row>
    <row r="631" spans="1:1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s="4"/>
      <c r="M631" t="s">
        <v>4279</v>
      </c>
      <c r="N631" s="6">
        <v>59.19</v>
      </c>
      <c r="O631" s="6" t="str">
        <f t="shared" si="9"/>
        <v>Normal</v>
      </c>
    </row>
    <row r="632" spans="1:1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s="4"/>
      <c r="M632" t="s">
        <v>4278</v>
      </c>
      <c r="N632" s="6">
        <v>1244.2</v>
      </c>
      <c r="O632" s="6" t="str">
        <f t="shared" si="9"/>
        <v>Normal</v>
      </c>
    </row>
    <row r="633" spans="1:1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  <c r="O633" s="6" t="str">
        <f t="shared" si="9"/>
        <v>Normal</v>
      </c>
    </row>
    <row r="634" spans="1:1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  <c r="O634" s="6" t="str">
        <f t="shared" si="9"/>
        <v>Outlier</v>
      </c>
    </row>
    <row r="635" spans="1:1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  <c r="O635" s="6" t="str">
        <f t="shared" si="9"/>
        <v>Normal</v>
      </c>
    </row>
    <row r="636" spans="1:1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  <c r="O636" s="6" t="str">
        <f t="shared" si="9"/>
        <v>Normal</v>
      </c>
    </row>
    <row r="637" spans="1:1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s="4"/>
      <c r="M637" t="s">
        <v>4281</v>
      </c>
      <c r="N637" s="6">
        <v>191.04</v>
      </c>
      <c r="O637" s="6" t="str">
        <f t="shared" si="9"/>
        <v>Normal</v>
      </c>
    </row>
    <row r="638" spans="1:1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  <c r="O638" s="6" t="str">
        <f t="shared" si="9"/>
        <v>Normal</v>
      </c>
    </row>
    <row r="639" spans="1:1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  <c r="O639" s="6" t="str">
        <f t="shared" si="9"/>
        <v>Normal</v>
      </c>
    </row>
    <row r="640" spans="1:1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  <c r="O640" s="6" t="str">
        <f t="shared" si="9"/>
        <v>Normal</v>
      </c>
    </row>
    <row r="641" spans="1:1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s="4"/>
      <c r="M641" t="s">
        <v>4279</v>
      </c>
      <c r="N641" s="6">
        <v>529.19000000000005</v>
      </c>
      <c r="O641" s="6" t="str">
        <f t="shared" si="9"/>
        <v>Normal</v>
      </c>
    </row>
    <row r="642" spans="1:1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  <c r="O642" s="6" t="str">
        <f t="shared" si="9"/>
        <v>Normal</v>
      </c>
    </row>
    <row r="643" spans="1:1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  <c r="O643" s="6" t="str">
        <f t="shared" ref="O643:O706" si="10">IF(OR(N643&lt;$P$10,N643&gt;$P$13),"Outlier","Normal")</f>
        <v>Normal</v>
      </c>
    </row>
    <row r="644" spans="1:1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  <c r="O644" s="6" t="str">
        <f t="shared" si="10"/>
        <v>Normal</v>
      </c>
    </row>
    <row r="645" spans="1:1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  <c r="O645" s="6" t="str">
        <f t="shared" si="10"/>
        <v>Normal</v>
      </c>
    </row>
    <row r="646" spans="1:1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  <c r="O646" s="6" t="str">
        <f t="shared" si="10"/>
        <v>Normal</v>
      </c>
    </row>
    <row r="647" spans="1:1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  <c r="O647" s="6" t="str">
        <f t="shared" si="10"/>
        <v>Normal</v>
      </c>
    </row>
    <row r="648" spans="1:1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  <c r="O648" s="6" t="str">
        <f t="shared" si="10"/>
        <v>Normal</v>
      </c>
    </row>
    <row r="649" spans="1:1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  <c r="O649" s="6" t="str">
        <f t="shared" si="10"/>
        <v>Normal</v>
      </c>
    </row>
    <row r="650" spans="1:1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  <c r="O650" s="6" t="str">
        <f t="shared" si="10"/>
        <v>Normal</v>
      </c>
    </row>
    <row r="651" spans="1:1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  <c r="O651" s="6" t="str">
        <f t="shared" si="10"/>
        <v>Normal</v>
      </c>
    </row>
    <row r="652" spans="1:1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  <c r="O652" s="6" t="str">
        <f t="shared" si="10"/>
        <v>Normal</v>
      </c>
    </row>
    <row r="653" spans="1:1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s="4"/>
      <c r="M653" t="s">
        <v>4282</v>
      </c>
      <c r="N653" s="6">
        <v>1939.02</v>
      </c>
      <c r="O653" s="6" t="str">
        <f t="shared" si="10"/>
        <v>Normal</v>
      </c>
    </row>
    <row r="654" spans="1:1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  <c r="O654" s="6" t="str">
        <f t="shared" si="10"/>
        <v>Normal</v>
      </c>
    </row>
    <row r="655" spans="1:1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  <c r="O655" s="6" t="str">
        <f t="shared" si="10"/>
        <v>Normal</v>
      </c>
    </row>
    <row r="656" spans="1:1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s="4"/>
      <c r="M656" t="s">
        <v>4278</v>
      </c>
      <c r="N656" s="6">
        <v>1147.1099999999999</v>
      </c>
      <c r="O656" s="6" t="str">
        <f t="shared" si="10"/>
        <v>Normal</v>
      </c>
    </row>
    <row r="657" spans="1:1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  <c r="O657" s="6" t="str">
        <f t="shared" si="10"/>
        <v>Normal</v>
      </c>
    </row>
    <row r="658" spans="1:1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  <c r="O658" s="6" t="str">
        <f t="shared" si="10"/>
        <v>Normal</v>
      </c>
    </row>
    <row r="659" spans="1:1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  <c r="O659" s="6" t="str">
        <f t="shared" si="10"/>
        <v>Normal</v>
      </c>
    </row>
    <row r="660" spans="1:1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  <c r="O660" s="6" t="str">
        <f t="shared" si="10"/>
        <v>Normal</v>
      </c>
    </row>
    <row r="661" spans="1:1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  <c r="O661" s="6" t="str">
        <f t="shared" si="10"/>
        <v>Normal</v>
      </c>
    </row>
    <row r="662" spans="1:1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  <c r="O662" s="6" t="str">
        <f t="shared" si="10"/>
        <v>Normal</v>
      </c>
    </row>
    <row r="663" spans="1:1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  <c r="O663" s="6" t="str">
        <f t="shared" si="10"/>
        <v>Normal</v>
      </c>
    </row>
    <row r="664" spans="1:1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s="4"/>
      <c r="M664" t="s">
        <v>4281</v>
      </c>
      <c r="N664" s="6">
        <v>1316.67</v>
      </c>
      <c r="O664" s="6" t="str">
        <f t="shared" si="10"/>
        <v>Normal</v>
      </c>
    </row>
    <row r="665" spans="1:1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  <c r="O665" s="6" t="str">
        <f t="shared" si="10"/>
        <v>Normal</v>
      </c>
    </row>
    <row r="666" spans="1:1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s="4"/>
      <c r="M666" t="s">
        <v>4281</v>
      </c>
      <c r="N666" s="6">
        <v>779</v>
      </c>
      <c r="O666" s="6" t="str">
        <f t="shared" si="10"/>
        <v>Normal</v>
      </c>
    </row>
    <row r="667" spans="1:1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  <c r="O667" s="6" t="str">
        <f t="shared" si="10"/>
        <v>Normal</v>
      </c>
    </row>
    <row r="668" spans="1:1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s="4"/>
      <c r="M668" t="s">
        <v>4280</v>
      </c>
      <c r="N668" s="6">
        <v>1308.48</v>
      </c>
      <c r="O668" s="6" t="str">
        <f t="shared" si="10"/>
        <v>Normal</v>
      </c>
    </row>
    <row r="669" spans="1:1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  <c r="O669" s="6" t="str">
        <f t="shared" si="10"/>
        <v>Normal</v>
      </c>
    </row>
    <row r="670" spans="1:1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  <c r="O670" s="6" t="str">
        <f t="shared" si="10"/>
        <v>Normal</v>
      </c>
    </row>
    <row r="671" spans="1:1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s="4"/>
      <c r="M671" t="s">
        <v>4279</v>
      </c>
      <c r="N671" s="6">
        <v>257</v>
      </c>
      <c r="O671" s="6" t="str">
        <f t="shared" si="10"/>
        <v>Normal</v>
      </c>
    </row>
    <row r="672" spans="1:1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  <c r="O672" s="6" t="str">
        <f t="shared" si="10"/>
        <v>Normal</v>
      </c>
    </row>
    <row r="673" spans="1:1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  <c r="O673" s="6" t="str">
        <f t="shared" si="10"/>
        <v>Normal</v>
      </c>
    </row>
    <row r="674" spans="1:1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  <c r="O674" s="6" t="str">
        <f t="shared" si="10"/>
        <v>Normal</v>
      </c>
    </row>
    <row r="675" spans="1:1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  <c r="O675" s="6" t="str">
        <f t="shared" si="10"/>
        <v>Normal</v>
      </c>
    </row>
    <row r="676" spans="1:1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  <c r="O676" s="6" t="str">
        <f t="shared" si="10"/>
        <v>Normal</v>
      </c>
    </row>
    <row r="677" spans="1:1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s="4"/>
      <c r="M677" t="s">
        <v>4280</v>
      </c>
      <c r="N677" s="6">
        <v>1026.06</v>
      </c>
      <c r="O677" s="6" t="str">
        <f t="shared" si="10"/>
        <v>Normal</v>
      </c>
    </row>
    <row r="678" spans="1:1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  <c r="O678" s="6" t="str">
        <f t="shared" si="10"/>
        <v>Normal</v>
      </c>
    </row>
    <row r="679" spans="1:1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  <c r="O679" s="6" t="str">
        <f t="shared" si="10"/>
        <v>Normal</v>
      </c>
    </row>
    <row r="680" spans="1:1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  <c r="O680" s="6" t="str">
        <f t="shared" si="10"/>
        <v>Normal</v>
      </c>
    </row>
    <row r="681" spans="1:1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  <c r="O681" s="6" t="str">
        <f t="shared" si="10"/>
        <v>Normal</v>
      </c>
    </row>
    <row r="682" spans="1:1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s="4"/>
      <c r="M682" t="s">
        <v>4281</v>
      </c>
      <c r="N682" s="6">
        <v>1390.17</v>
      </c>
      <c r="O682" s="6" t="str">
        <f t="shared" si="10"/>
        <v>Normal</v>
      </c>
    </row>
    <row r="683" spans="1:1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s="4"/>
      <c r="M683" t="s">
        <v>4280</v>
      </c>
      <c r="N683" s="6">
        <v>155.27000000000001</v>
      </c>
      <c r="O683" s="6" t="str">
        <f t="shared" si="10"/>
        <v>Normal</v>
      </c>
    </row>
    <row r="684" spans="1:1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  <c r="O684" s="6" t="str">
        <f t="shared" si="10"/>
        <v>Normal</v>
      </c>
    </row>
    <row r="685" spans="1:1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  <c r="O685" s="6" t="str">
        <f t="shared" si="10"/>
        <v>Normal</v>
      </c>
    </row>
    <row r="686" spans="1:1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s="4"/>
      <c r="M686" t="s">
        <v>4280</v>
      </c>
      <c r="N686" s="6">
        <v>139.36000000000001</v>
      </c>
      <c r="O686" s="6" t="str">
        <f t="shared" si="10"/>
        <v>Normal</v>
      </c>
    </row>
    <row r="687" spans="1:1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  <c r="O687" s="6" t="str">
        <f t="shared" si="10"/>
        <v>Normal</v>
      </c>
    </row>
    <row r="688" spans="1:1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  <c r="O688" s="6" t="str">
        <f t="shared" si="10"/>
        <v>Normal</v>
      </c>
    </row>
    <row r="689" spans="1:1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  <c r="O689" s="6" t="str">
        <f t="shared" si="10"/>
        <v>Normal</v>
      </c>
    </row>
    <row r="690" spans="1:1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  <c r="O690" s="6" t="str">
        <f t="shared" si="10"/>
        <v>Normal</v>
      </c>
    </row>
    <row r="691" spans="1:1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s="4"/>
      <c r="M691" t="s">
        <v>4281</v>
      </c>
      <c r="N691" s="6">
        <v>889.68</v>
      </c>
      <c r="O691" s="6" t="str">
        <f t="shared" si="10"/>
        <v>Normal</v>
      </c>
    </row>
    <row r="692" spans="1:1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s="4"/>
      <c r="M692" t="s">
        <v>4278</v>
      </c>
      <c r="N692" s="6">
        <v>24.48</v>
      </c>
      <c r="O692" s="6" t="str">
        <f t="shared" si="10"/>
        <v>Normal</v>
      </c>
    </row>
    <row r="693" spans="1:1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s="4"/>
      <c r="M693" t="s">
        <v>4282</v>
      </c>
      <c r="N693" s="6">
        <v>717.24</v>
      </c>
      <c r="O693" s="6" t="str">
        <f t="shared" si="10"/>
        <v>Normal</v>
      </c>
    </row>
    <row r="694" spans="1:1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  <c r="O694" s="6" t="str">
        <f t="shared" si="10"/>
        <v>Normal</v>
      </c>
    </row>
    <row r="695" spans="1:1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s="4"/>
      <c r="M695" t="s">
        <v>4279</v>
      </c>
      <c r="N695" s="6">
        <v>176.58</v>
      </c>
      <c r="O695" s="6" t="str">
        <f t="shared" si="10"/>
        <v>Normal</v>
      </c>
    </row>
    <row r="696" spans="1:1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  <c r="O696" s="6" t="str">
        <f t="shared" si="10"/>
        <v>Normal</v>
      </c>
    </row>
    <row r="697" spans="1:1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  <c r="O697" s="6" t="str">
        <f t="shared" si="10"/>
        <v>Normal</v>
      </c>
    </row>
    <row r="698" spans="1:1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  <c r="O698" s="6" t="str">
        <f t="shared" si="10"/>
        <v>Normal</v>
      </c>
    </row>
    <row r="699" spans="1:1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  <c r="O699" s="6" t="str">
        <f t="shared" si="10"/>
        <v>Normal</v>
      </c>
    </row>
    <row r="700" spans="1:1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  <c r="O700" s="6" t="str">
        <f t="shared" si="10"/>
        <v>Normal</v>
      </c>
    </row>
    <row r="701" spans="1:1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s="4"/>
      <c r="M701" t="s">
        <v>4281</v>
      </c>
      <c r="N701" s="6">
        <v>1842.45</v>
      </c>
      <c r="O701" s="6" t="str">
        <f t="shared" si="10"/>
        <v>Normal</v>
      </c>
    </row>
    <row r="702" spans="1:1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  <c r="O702" s="6" t="str">
        <f t="shared" si="10"/>
        <v>Normal</v>
      </c>
    </row>
    <row r="703" spans="1:1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  <c r="O703" s="6" t="str">
        <f t="shared" si="10"/>
        <v>Normal</v>
      </c>
    </row>
    <row r="704" spans="1:1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s="4"/>
      <c r="M704" t="s">
        <v>4280</v>
      </c>
      <c r="N704" s="6">
        <v>1687.65</v>
      </c>
      <c r="O704" s="6" t="str">
        <f t="shared" si="10"/>
        <v>Normal</v>
      </c>
    </row>
    <row r="705" spans="1:1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  <c r="O705" s="6" t="str">
        <f t="shared" si="10"/>
        <v>Normal</v>
      </c>
    </row>
    <row r="706" spans="1:1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  <c r="O706" s="6" t="str">
        <f t="shared" si="10"/>
        <v>Normal</v>
      </c>
    </row>
    <row r="707" spans="1:1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  <c r="O707" s="6" t="str">
        <f t="shared" ref="O707:O770" si="11">IF(OR(N707&lt;$P$10,N707&gt;$P$13),"Outlier","Normal")</f>
        <v>Normal</v>
      </c>
    </row>
    <row r="708" spans="1:1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  <c r="O708" s="6" t="str">
        <f t="shared" si="11"/>
        <v>Normal</v>
      </c>
    </row>
    <row r="709" spans="1:1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  <c r="O709" s="6" t="str">
        <f t="shared" si="11"/>
        <v>Normal</v>
      </c>
    </row>
    <row r="710" spans="1:1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  <c r="O710" s="6" t="str">
        <f t="shared" si="11"/>
        <v>Normal</v>
      </c>
    </row>
    <row r="711" spans="1:1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  <c r="O711" s="6" t="str">
        <f t="shared" si="11"/>
        <v>Normal</v>
      </c>
    </row>
    <row r="712" spans="1:1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s="4"/>
      <c r="M712" t="s">
        <v>4282</v>
      </c>
      <c r="N712" s="6">
        <v>107.7</v>
      </c>
      <c r="O712" s="6" t="str">
        <f t="shared" si="11"/>
        <v>Normal</v>
      </c>
    </row>
    <row r="713" spans="1:1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  <c r="O713" s="6" t="str">
        <f t="shared" si="11"/>
        <v>Normal</v>
      </c>
    </row>
    <row r="714" spans="1:1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  <c r="O714" s="6" t="str">
        <f t="shared" si="11"/>
        <v>Normal</v>
      </c>
    </row>
    <row r="715" spans="1:1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  <c r="O715" s="6" t="str">
        <f t="shared" si="11"/>
        <v>Normal</v>
      </c>
    </row>
    <row r="716" spans="1:1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  <c r="O716" s="6" t="str">
        <f t="shared" si="11"/>
        <v>Normal</v>
      </c>
    </row>
    <row r="717" spans="1:1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  <c r="O717" s="6" t="str">
        <f t="shared" si="11"/>
        <v>Normal</v>
      </c>
    </row>
    <row r="718" spans="1:1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  <c r="O718" s="6" t="str">
        <f t="shared" si="11"/>
        <v>Normal</v>
      </c>
    </row>
    <row r="719" spans="1:1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  <c r="O719" s="6" t="str">
        <f t="shared" si="11"/>
        <v>Normal</v>
      </c>
    </row>
    <row r="720" spans="1:1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  <c r="O720" s="6" t="str">
        <f t="shared" si="11"/>
        <v>Normal</v>
      </c>
    </row>
    <row r="721" spans="1:1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  <c r="O721" s="6" t="str">
        <f t="shared" si="11"/>
        <v>Normal</v>
      </c>
    </row>
    <row r="722" spans="1:1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  <c r="O722" s="6" t="str">
        <f t="shared" si="11"/>
        <v>Normal</v>
      </c>
    </row>
    <row r="723" spans="1:1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s="4"/>
      <c r="M723" t="s">
        <v>4280</v>
      </c>
      <c r="N723" s="6">
        <v>237.18</v>
      </c>
      <c r="O723" s="6" t="str">
        <f t="shared" si="11"/>
        <v>Normal</v>
      </c>
    </row>
    <row r="724" spans="1:1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  <c r="O724" s="6" t="str">
        <f t="shared" si="11"/>
        <v>Normal</v>
      </c>
    </row>
    <row r="725" spans="1:1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  <c r="O725" s="6" t="str">
        <f t="shared" si="11"/>
        <v>Normal</v>
      </c>
    </row>
    <row r="726" spans="1:1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  <c r="O726" s="6" t="str">
        <f t="shared" si="11"/>
        <v>Normal</v>
      </c>
    </row>
    <row r="727" spans="1:1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s="4"/>
      <c r="M727" t="s">
        <v>4279</v>
      </c>
      <c r="N727" s="6">
        <v>389.7</v>
      </c>
      <c r="O727" s="6" t="str">
        <f t="shared" si="11"/>
        <v>Normal</v>
      </c>
    </row>
    <row r="728" spans="1:1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  <c r="O728" s="6" t="str">
        <f t="shared" si="11"/>
        <v>Normal</v>
      </c>
    </row>
    <row r="729" spans="1:1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  <c r="O729" s="6" t="str">
        <f t="shared" si="11"/>
        <v>Normal</v>
      </c>
    </row>
    <row r="730" spans="1:1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  <c r="O730" s="6" t="str">
        <f t="shared" si="11"/>
        <v>Normal</v>
      </c>
    </row>
    <row r="731" spans="1:1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  <c r="O731" s="6" t="str">
        <f t="shared" si="11"/>
        <v>Normal</v>
      </c>
    </row>
    <row r="732" spans="1:1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  <c r="O732" s="6" t="str">
        <f t="shared" si="11"/>
        <v>Normal</v>
      </c>
    </row>
    <row r="733" spans="1:1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s="4"/>
      <c r="M733" t="s">
        <v>4280</v>
      </c>
      <c r="N733" s="6">
        <v>2922.3</v>
      </c>
      <c r="O733" s="6" t="str">
        <f t="shared" si="11"/>
        <v>Normal</v>
      </c>
    </row>
    <row r="734" spans="1:1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s="4"/>
      <c r="M734" t="s">
        <v>4282</v>
      </c>
      <c r="N734" s="6">
        <v>132.05000000000001</v>
      </c>
      <c r="O734" s="6" t="str">
        <f t="shared" si="11"/>
        <v>Normal</v>
      </c>
    </row>
    <row r="735" spans="1:1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  <c r="O735" s="6" t="str">
        <f t="shared" si="11"/>
        <v>Normal</v>
      </c>
    </row>
    <row r="736" spans="1:1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  <c r="O736" s="6" t="str">
        <f t="shared" si="11"/>
        <v>Normal</v>
      </c>
    </row>
    <row r="737" spans="1:1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s="4"/>
      <c r="M737" t="s">
        <v>4280</v>
      </c>
      <c r="N737" s="6">
        <v>176.28</v>
      </c>
      <c r="O737" s="6" t="str">
        <f t="shared" si="11"/>
        <v>Normal</v>
      </c>
    </row>
    <row r="738" spans="1:1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  <c r="O738" s="6" t="str">
        <f t="shared" si="11"/>
        <v>Normal</v>
      </c>
    </row>
    <row r="739" spans="1:1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  <c r="O739" s="6" t="str">
        <f t="shared" si="11"/>
        <v>Normal</v>
      </c>
    </row>
    <row r="740" spans="1:1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  <c r="O740" s="6" t="str">
        <f t="shared" si="11"/>
        <v>Normal</v>
      </c>
    </row>
    <row r="741" spans="1:1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  <c r="O741" s="6" t="str">
        <f t="shared" si="11"/>
        <v>Normal</v>
      </c>
    </row>
    <row r="742" spans="1:1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s="4"/>
      <c r="M742" t="s">
        <v>4282</v>
      </c>
      <c r="N742" s="6">
        <v>754.94</v>
      </c>
      <c r="O742" s="6" t="str">
        <f t="shared" si="11"/>
        <v>Normal</v>
      </c>
    </row>
    <row r="743" spans="1:1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s="4"/>
      <c r="M743" t="s">
        <v>4279</v>
      </c>
      <c r="N743" s="6">
        <v>1663.2</v>
      </c>
      <c r="O743" s="6" t="str">
        <f t="shared" si="11"/>
        <v>Normal</v>
      </c>
    </row>
    <row r="744" spans="1:1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  <c r="O744" s="6" t="str">
        <f t="shared" si="11"/>
        <v>Normal</v>
      </c>
    </row>
    <row r="745" spans="1:1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  <c r="O745" s="6" t="str">
        <f t="shared" si="11"/>
        <v>Normal</v>
      </c>
    </row>
    <row r="746" spans="1:1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  <c r="O746" s="6" t="str">
        <f t="shared" si="11"/>
        <v>Normal</v>
      </c>
    </row>
    <row r="747" spans="1:1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  <c r="O747" s="6" t="str">
        <f t="shared" si="11"/>
        <v>Normal</v>
      </c>
    </row>
    <row r="748" spans="1:1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  <c r="O748" s="6" t="str">
        <f t="shared" si="11"/>
        <v>Normal</v>
      </c>
    </row>
    <row r="749" spans="1:1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  <c r="O749" s="6" t="str">
        <f t="shared" si="11"/>
        <v>Normal</v>
      </c>
    </row>
    <row r="750" spans="1:1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  <c r="O750" s="6" t="str">
        <f t="shared" si="11"/>
        <v>Normal</v>
      </c>
    </row>
    <row r="751" spans="1:1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  <c r="O751" s="6" t="str">
        <f t="shared" si="11"/>
        <v>Normal</v>
      </c>
    </row>
    <row r="752" spans="1:1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  <c r="O752" s="6" t="str">
        <f t="shared" si="11"/>
        <v>Normal</v>
      </c>
    </row>
    <row r="753" spans="1:1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  <c r="O753" s="6" t="str">
        <f t="shared" si="11"/>
        <v>Normal</v>
      </c>
    </row>
    <row r="754" spans="1:1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  <c r="O754" s="6" t="str">
        <f t="shared" si="11"/>
        <v>Normal</v>
      </c>
    </row>
    <row r="755" spans="1:1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  <c r="O755" s="6" t="str">
        <f t="shared" si="11"/>
        <v>Normal</v>
      </c>
    </row>
    <row r="756" spans="1:1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  <c r="O756" s="6" t="str">
        <f t="shared" si="11"/>
        <v>Normal</v>
      </c>
    </row>
    <row r="757" spans="1:1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s="4"/>
      <c r="M757" t="s">
        <v>4280</v>
      </c>
      <c r="N757" s="6">
        <v>1010.13</v>
      </c>
      <c r="O757" s="6" t="str">
        <f t="shared" si="11"/>
        <v>Normal</v>
      </c>
    </row>
    <row r="758" spans="1:1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s="4"/>
      <c r="M758" t="s">
        <v>4282</v>
      </c>
      <c r="N758" s="6">
        <v>283.69</v>
      </c>
      <c r="O758" s="6" t="str">
        <f t="shared" si="11"/>
        <v>Normal</v>
      </c>
    </row>
    <row r="759" spans="1:1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  <c r="O759" s="6" t="str">
        <f t="shared" si="11"/>
        <v>Normal</v>
      </c>
    </row>
    <row r="760" spans="1:1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  <c r="O760" s="6" t="str">
        <f t="shared" si="11"/>
        <v>Normal</v>
      </c>
    </row>
    <row r="761" spans="1:1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  <c r="O761" s="6" t="str">
        <f t="shared" si="11"/>
        <v>Normal</v>
      </c>
    </row>
    <row r="762" spans="1:1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s="4"/>
      <c r="M762" t="s">
        <v>4282</v>
      </c>
      <c r="N762" s="6">
        <v>39.56</v>
      </c>
      <c r="O762" s="6" t="str">
        <f t="shared" si="11"/>
        <v>Normal</v>
      </c>
    </row>
    <row r="763" spans="1:1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s="4"/>
      <c r="M763" t="s">
        <v>4282</v>
      </c>
      <c r="N763" s="6">
        <v>151.04</v>
      </c>
      <c r="O763" s="6" t="str">
        <f t="shared" si="11"/>
        <v>Normal</v>
      </c>
    </row>
    <row r="764" spans="1:1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  <c r="O764" s="6" t="str">
        <f t="shared" si="11"/>
        <v>Normal</v>
      </c>
    </row>
    <row r="765" spans="1:1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  <c r="O765" s="6" t="str">
        <f t="shared" si="11"/>
        <v>Normal</v>
      </c>
    </row>
    <row r="766" spans="1:1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  <c r="O766" s="6" t="str">
        <f t="shared" si="11"/>
        <v>Normal</v>
      </c>
    </row>
    <row r="767" spans="1:1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  <c r="O767" s="6" t="str">
        <f t="shared" si="11"/>
        <v>Normal</v>
      </c>
    </row>
    <row r="768" spans="1:1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  <c r="O768" s="6" t="str">
        <f t="shared" si="11"/>
        <v>Normal</v>
      </c>
    </row>
    <row r="769" spans="1:1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s="4"/>
      <c r="M769" t="s">
        <v>4278</v>
      </c>
      <c r="N769" s="6">
        <v>646.44000000000005</v>
      </c>
      <c r="O769" s="6" t="str">
        <f t="shared" si="11"/>
        <v>Normal</v>
      </c>
    </row>
    <row r="770" spans="1:1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  <c r="O770" s="6" t="str">
        <f t="shared" si="11"/>
        <v>Normal</v>
      </c>
    </row>
    <row r="771" spans="1:1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s="4"/>
      <c r="M771" t="s">
        <v>4280</v>
      </c>
      <c r="N771" s="6">
        <v>2714.2</v>
      </c>
      <c r="O771" s="6" t="str">
        <f t="shared" ref="O771:O834" si="12">IF(OR(N771&lt;$P$10,N771&gt;$P$13),"Outlier","Normal")</f>
        <v>Normal</v>
      </c>
    </row>
    <row r="772" spans="1:1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s="4"/>
      <c r="M772" t="s">
        <v>4282</v>
      </c>
      <c r="N772" s="6">
        <v>314.38</v>
      </c>
      <c r="O772" s="6" t="str">
        <f t="shared" si="12"/>
        <v>Normal</v>
      </c>
    </row>
    <row r="773" spans="1:1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  <c r="O773" s="6" t="str">
        <f t="shared" si="12"/>
        <v>Normal</v>
      </c>
    </row>
    <row r="774" spans="1:1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s="4"/>
      <c r="M774" t="s">
        <v>4278</v>
      </c>
      <c r="N774" s="6">
        <v>604.87</v>
      </c>
      <c r="O774" s="6" t="str">
        <f t="shared" si="12"/>
        <v>Normal</v>
      </c>
    </row>
    <row r="775" spans="1:1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s="4"/>
      <c r="M775" t="s">
        <v>4281</v>
      </c>
      <c r="N775" s="6">
        <v>1024.6600000000001</v>
      </c>
      <c r="O775" s="6" t="str">
        <f t="shared" si="12"/>
        <v>Normal</v>
      </c>
    </row>
    <row r="776" spans="1:1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  <c r="O776" s="6" t="str">
        <f t="shared" si="12"/>
        <v>Normal</v>
      </c>
    </row>
    <row r="777" spans="1:1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s="4"/>
      <c r="M777" t="s">
        <v>4282</v>
      </c>
      <c r="N777" s="6">
        <v>1250.44</v>
      </c>
      <c r="O777" s="6" t="str">
        <f t="shared" si="12"/>
        <v>Normal</v>
      </c>
    </row>
    <row r="778" spans="1:1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  <c r="O778" s="6" t="str">
        <f t="shared" si="12"/>
        <v>Normal</v>
      </c>
    </row>
    <row r="779" spans="1:1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s="4"/>
      <c r="M779" t="s">
        <v>4281</v>
      </c>
      <c r="N779" s="6">
        <v>322.45</v>
      </c>
      <c r="O779" s="6" t="str">
        <f t="shared" si="12"/>
        <v>Normal</v>
      </c>
    </row>
    <row r="780" spans="1:1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  <c r="O780" s="6" t="str">
        <f t="shared" si="12"/>
        <v>Normal</v>
      </c>
    </row>
    <row r="781" spans="1:1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  <c r="O781" s="6" t="str">
        <f t="shared" si="12"/>
        <v>Normal</v>
      </c>
    </row>
    <row r="782" spans="1:1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  <c r="O782" s="6" t="str">
        <f t="shared" si="12"/>
        <v>Normal</v>
      </c>
    </row>
    <row r="783" spans="1:1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  <c r="O783" s="6" t="str">
        <f t="shared" si="12"/>
        <v>Normal</v>
      </c>
    </row>
    <row r="784" spans="1:1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  <c r="O784" s="6" t="str">
        <f t="shared" si="12"/>
        <v>Normal</v>
      </c>
    </row>
    <row r="785" spans="1:1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  <c r="O785" s="6" t="str">
        <f t="shared" si="12"/>
        <v>Normal</v>
      </c>
    </row>
    <row r="786" spans="1:1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  <c r="O786" s="6" t="str">
        <f t="shared" si="12"/>
        <v>Normal</v>
      </c>
    </row>
    <row r="787" spans="1:1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  <c r="O787" s="6" t="str">
        <f t="shared" si="12"/>
        <v>Normal</v>
      </c>
    </row>
    <row r="788" spans="1:1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s="4"/>
      <c r="M788" t="s">
        <v>4279</v>
      </c>
      <c r="N788" s="6">
        <v>226.55</v>
      </c>
      <c r="O788" s="6" t="str">
        <f t="shared" si="12"/>
        <v>Normal</v>
      </c>
    </row>
    <row r="789" spans="1:1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s="4"/>
      <c r="M789" t="s">
        <v>4282</v>
      </c>
      <c r="N789" s="6">
        <v>887.84</v>
      </c>
      <c r="O789" s="6" t="str">
        <f t="shared" si="12"/>
        <v>Normal</v>
      </c>
    </row>
    <row r="790" spans="1:1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  <c r="O790" s="6" t="str">
        <f t="shared" si="12"/>
        <v>Normal</v>
      </c>
    </row>
    <row r="791" spans="1:1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  <c r="O791" s="6" t="str">
        <f t="shared" si="12"/>
        <v>Outlier</v>
      </c>
    </row>
    <row r="792" spans="1:1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s="4"/>
      <c r="M792" t="s">
        <v>4282</v>
      </c>
      <c r="N792" s="6">
        <v>1671.56</v>
      </c>
      <c r="O792" s="6" t="str">
        <f t="shared" si="12"/>
        <v>Normal</v>
      </c>
    </row>
    <row r="793" spans="1:1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s="4"/>
      <c r="M793" t="s">
        <v>4280</v>
      </c>
      <c r="N793" s="6">
        <v>1637.12</v>
      </c>
      <c r="O793" s="6" t="str">
        <f t="shared" si="12"/>
        <v>Normal</v>
      </c>
    </row>
    <row r="794" spans="1:1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  <c r="O794" s="6" t="str">
        <f t="shared" si="12"/>
        <v>Normal</v>
      </c>
    </row>
    <row r="795" spans="1:1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s="4"/>
      <c r="M795" t="s">
        <v>4279</v>
      </c>
      <c r="N795" s="6">
        <v>851.1</v>
      </c>
      <c r="O795" s="6" t="str">
        <f t="shared" si="12"/>
        <v>Normal</v>
      </c>
    </row>
    <row r="796" spans="1:1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  <c r="O796" s="6" t="str">
        <f t="shared" si="12"/>
        <v>Normal</v>
      </c>
    </row>
    <row r="797" spans="1:1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  <c r="O797" s="6" t="str">
        <f t="shared" si="12"/>
        <v>Normal</v>
      </c>
    </row>
    <row r="798" spans="1:1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  <c r="O798" s="6" t="str">
        <f t="shared" si="12"/>
        <v>Normal</v>
      </c>
    </row>
    <row r="799" spans="1:1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s="4"/>
      <c r="M799" t="s">
        <v>4281</v>
      </c>
      <c r="N799" s="6">
        <v>877.52</v>
      </c>
      <c r="O799" s="6" t="str">
        <f t="shared" si="12"/>
        <v>Normal</v>
      </c>
    </row>
    <row r="800" spans="1:1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  <c r="O800" s="6" t="str">
        <f t="shared" si="12"/>
        <v>Normal</v>
      </c>
    </row>
    <row r="801" spans="1:1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  <c r="O801" s="6" t="str">
        <f t="shared" si="12"/>
        <v>Normal</v>
      </c>
    </row>
    <row r="802" spans="1:1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  <c r="O802" s="6" t="str">
        <f t="shared" si="12"/>
        <v>Normal</v>
      </c>
    </row>
    <row r="803" spans="1:1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  <c r="O803" s="6" t="str">
        <f t="shared" si="12"/>
        <v>Normal</v>
      </c>
    </row>
    <row r="804" spans="1:1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  <c r="O804" s="6" t="str">
        <f t="shared" si="12"/>
        <v>Normal</v>
      </c>
    </row>
    <row r="805" spans="1:1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  <c r="O805" s="6" t="str">
        <f t="shared" si="12"/>
        <v>Normal</v>
      </c>
    </row>
    <row r="806" spans="1:1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  <c r="O806" s="6" t="str">
        <f t="shared" si="12"/>
        <v>Normal</v>
      </c>
    </row>
    <row r="807" spans="1:1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  <c r="O807" s="6" t="str">
        <f t="shared" si="12"/>
        <v>Normal</v>
      </c>
    </row>
    <row r="808" spans="1:1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  <c r="O808" s="6" t="str">
        <f t="shared" si="12"/>
        <v>Normal</v>
      </c>
    </row>
    <row r="809" spans="1:1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  <c r="O809" s="6" t="str">
        <f t="shared" si="12"/>
        <v>Normal</v>
      </c>
    </row>
    <row r="810" spans="1:1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s="4"/>
      <c r="M810" t="s">
        <v>4282</v>
      </c>
      <c r="N810" s="6">
        <v>402.15</v>
      </c>
      <c r="O810" s="6" t="str">
        <f t="shared" si="12"/>
        <v>Normal</v>
      </c>
    </row>
    <row r="811" spans="1:1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  <c r="O811" s="6" t="str">
        <f t="shared" si="12"/>
        <v>Normal</v>
      </c>
    </row>
    <row r="812" spans="1:1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s="4"/>
      <c r="M812" t="s">
        <v>4279</v>
      </c>
      <c r="N812" s="6">
        <v>553.55999999999995</v>
      </c>
      <c r="O812" s="6" t="str">
        <f t="shared" si="12"/>
        <v>Normal</v>
      </c>
    </row>
    <row r="813" spans="1:1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  <c r="O813" s="6" t="str">
        <f t="shared" si="12"/>
        <v>Normal</v>
      </c>
    </row>
    <row r="814" spans="1:1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  <c r="O814" s="6" t="str">
        <f t="shared" si="12"/>
        <v>Normal</v>
      </c>
    </row>
    <row r="815" spans="1:1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  <c r="O815" s="6" t="str">
        <f t="shared" si="12"/>
        <v>Normal</v>
      </c>
    </row>
    <row r="816" spans="1:1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  <c r="O816" s="6" t="str">
        <f t="shared" si="12"/>
        <v>Normal</v>
      </c>
    </row>
    <row r="817" spans="1:1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  <c r="O817" s="6" t="str">
        <f t="shared" si="12"/>
        <v>Normal</v>
      </c>
    </row>
    <row r="818" spans="1:1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  <c r="O818" s="6" t="str">
        <f t="shared" si="12"/>
        <v>Normal</v>
      </c>
    </row>
    <row r="819" spans="1:1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  <c r="O819" s="6" t="str">
        <f t="shared" si="12"/>
        <v>Normal</v>
      </c>
    </row>
    <row r="820" spans="1:1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  <c r="O820" s="6" t="str">
        <f t="shared" si="12"/>
        <v>Normal</v>
      </c>
    </row>
    <row r="821" spans="1:1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  <c r="O821" s="6" t="str">
        <f t="shared" si="12"/>
        <v>Normal</v>
      </c>
    </row>
    <row r="822" spans="1:1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  <c r="O822" s="6" t="str">
        <f t="shared" si="12"/>
        <v>Normal</v>
      </c>
    </row>
    <row r="823" spans="1:1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  <c r="O823" s="6" t="str">
        <f t="shared" si="12"/>
        <v>Normal</v>
      </c>
    </row>
    <row r="824" spans="1:1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  <c r="O824" s="6" t="str">
        <f t="shared" si="12"/>
        <v>Normal</v>
      </c>
    </row>
    <row r="825" spans="1:1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  <c r="O825" s="6" t="str">
        <f t="shared" si="12"/>
        <v>Normal</v>
      </c>
    </row>
    <row r="826" spans="1:1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  <c r="O826" s="6" t="str">
        <f t="shared" si="12"/>
        <v>Normal</v>
      </c>
    </row>
    <row r="827" spans="1:1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  <c r="O827" s="6" t="str">
        <f t="shared" si="12"/>
        <v>Normal</v>
      </c>
    </row>
    <row r="828" spans="1:1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  <c r="O828" s="6" t="str">
        <f t="shared" si="12"/>
        <v>Normal</v>
      </c>
    </row>
    <row r="829" spans="1:1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  <c r="O829" s="6" t="str">
        <f t="shared" si="12"/>
        <v>Normal</v>
      </c>
    </row>
    <row r="830" spans="1:1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  <c r="O830" s="6" t="str">
        <f t="shared" si="12"/>
        <v>Normal</v>
      </c>
    </row>
    <row r="831" spans="1:1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  <c r="O831" s="6" t="str">
        <f t="shared" si="12"/>
        <v>Normal</v>
      </c>
    </row>
    <row r="832" spans="1:1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  <c r="O832" s="6" t="str">
        <f t="shared" si="12"/>
        <v>Normal</v>
      </c>
    </row>
    <row r="833" spans="1:1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s="4"/>
      <c r="M833" t="s">
        <v>4282</v>
      </c>
      <c r="N833" s="6">
        <v>177.46</v>
      </c>
      <c r="O833" s="6" t="str">
        <f t="shared" si="12"/>
        <v>Normal</v>
      </c>
    </row>
    <row r="834" spans="1:1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  <c r="O834" s="6" t="str">
        <f t="shared" si="12"/>
        <v>Normal</v>
      </c>
    </row>
    <row r="835" spans="1:1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  <c r="O835" s="6" t="str">
        <f t="shared" ref="O835:O898" si="13">IF(OR(N835&lt;$P$10,N835&gt;$P$13),"Outlier","Normal")</f>
        <v>Normal</v>
      </c>
    </row>
    <row r="836" spans="1:1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s="4"/>
      <c r="M836" t="s">
        <v>4278</v>
      </c>
      <c r="N836" s="6">
        <v>110.7</v>
      </c>
      <c r="O836" s="6" t="str">
        <f t="shared" si="13"/>
        <v>Normal</v>
      </c>
    </row>
    <row r="837" spans="1:1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  <c r="O837" s="6" t="str">
        <f t="shared" si="13"/>
        <v>Normal</v>
      </c>
    </row>
    <row r="838" spans="1:1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  <c r="O838" s="6" t="str">
        <f t="shared" si="13"/>
        <v>Normal</v>
      </c>
    </row>
    <row r="839" spans="1:1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s="4"/>
      <c r="M839" t="s">
        <v>4280</v>
      </c>
      <c r="N839" s="6">
        <v>3277.75</v>
      </c>
      <c r="O839" s="6" t="str">
        <f t="shared" si="13"/>
        <v>Normal</v>
      </c>
    </row>
    <row r="840" spans="1:1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s="4"/>
      <c r="M840" t="s">
        <v>4281</v>
      </c>
      <c r="N840" s="6">
        <v>2308.3200000000002</v>
      </c>
      <c r="O840" s="6" t="str">
        <f t="shared" si="13"/>
        <v>Normal</v>
      </c>
    </row>
    <row r="841" spans="1:1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s="4"/>
      <c r="M841" t="s">
        <v>4282</v>
      </c>
      <c r="N841" s="6">
        <v>593.91</v>
      </c>
      <c r="O841" s="6" t="str">
        <f t="shared" si="13"/>
        <v>Normal</v>
      </c>
    </row>
    <row r="842" spans="1:1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  <c r="O842" s="6" t="str">
        <f t="shared" si="13"/>
        <v>Normal</v>
      </c>
    </row>
    <row r="843" spans="1:1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s="4"/>
      <c r="M843" t="s">
        <v>4281</v>
      </c>
      <c r="N843" s="6">
        <v>886.44</v>
      </c>
      <c r="O843" s="6" t="str">
        <f t="shared" si="13"/>
        <v>Normal</v>
      </c>
    </row>
    <row r="844" spans="1:1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  <c r="O844" s="6" t="str">
        <f t="shared" si="13"/>
        <v>Normal</v>
      </c>
    </row>
    <row r="845" spans="1:1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  <c r="O845" s="6" t="str">
        <f t="shared" si="13"/>
        <v>Normal</v>
      </c>
    </row>
    <row r="846" spans="1:1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  <c r="O846" s="6" t="str">
        <f t="shared" si="13"/>
        <v>Normal</v>
      </c>
    </row>
    <row r="847" spans="1:1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  <c r="O847" s="6" t="str">
        <f t="shared" si="13"/>
        <v>Normal</v>
      </c>
    </row>
    <row r="848" spans="1:1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s="4"/>
      <c r="M848" t="s">
        <v>4279</v>
      </c>
      <c r="N848" s="6">
        <v>719.72</v>
      </c>
      <c r="O848" s="6" t="str">
        <f t="shared" si="13"/>
        <v>Normal</v>
      </c>
    </row>
    <row r="849" spans="1:1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  <c r="O849" s="6" t="str">
        <f t="shared" si="13"/>
        <v>Normal</v>
      </c>
    </row>
    <row r="850" spans="1:1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s="4"/>
      <c r="M850" t="s">
        <v>4279</v>
      </c>
      <c r="N850" s="6">
        <v>1291.7</v>
      </c>
      <c r="O850" s="6" t="str">
        <f t="shared" si="13"/>
        <v>Normal</v>
      </c>
    </row>
    <row r="851" spans="1:1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  <c r="O851" s="6" t="str">
        <f t="shared" si="13"/>
        <v>Normal</v>
      </c>
    </row>
    <row r="852" spans="1:1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  <c r="O852" s="6" t="str">
        <f t="shared" si="13"/>
        <v>Normal</v>
      </c>
    </row>
    <row r="853" spans="1:1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  <c r="O853" s="6" t="str">
        <f t="shared" si="13"/>
        <v>Normal</v>
      </c>
    </row>
    <row r="854" spans="1:1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  <c r="O854" s="6" t="str">
        <f t="shared" si="13"/>
        <v>Normal</v>
      </c>
    </row>
    <row r="855" spans="1:1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  <c r="O855" s="6" t="str">
        <f t="shared" si="13"/>
        <v>Normal</v>
      </c>
    </row>
    <row r="856" spans="1:1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  <c r="O856" s="6" t="str">
        <f t="shared" si="13"/>
        <v>Normal</v>
      </c>
    </row>
    <row r="857" spans="1:1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  <c r="O857" s="6" t="str">
        <f t="shared" si="13"/>
        <v>Normal</v>
      </c>
    </row>
    <row r="858" spans="1:1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s="4"/>
      <c r="M858" t="s">
        <v>4281</v>
      </c>
      <c r="N858" s="6">
        <v>586.62</v>
      </c>
      <c r="O858" s="6" t="str">
        <f t="shared" si="13"/>
        <v>Normal</v>
      </c>
    </row>
    <row r="859" spans="1:1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s="4"/>
      <c r="M859" t="s">
        <v>4278</v>
      </c>
      <c r="N859" s="6">
        <v>773.52</v>
      </c>
      <c r="O859" s="6" t="str">
        <f t="shared" si="13"/>
        <v>Normal</v>
      </c>
    </row>
    <row r="860" spans="1:1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s="4"/>
      <c r="M860" t="s">
        <v>4281</v>
      </c>
      <c r="N860" s="6">
        <v>2178.3000000000002</v>
      </c>
      <c r="O860" s="6" t="str">
        <f t="shared" si="13"/>
        <v>Normal</v>
      </c>
    </row>
    <row r="861" spans="1:1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  <c r="O861" s="6" t="str">
        <f t="shared" si="13"/>
        <v>Normal</v>
      </c>
    </row>
    <row r="862" spans="1:1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  <c r="O862" s="6" t="str">
        <f t="shared" si="13"/>
        <v>Normal</v>
      </c>
    </row>
    <row r="863" spans="1:1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  <c r="O863" s="6" t="str">
        <f t="shared" si="13"/>
        <v>Normal</v>
      </c>
    </row>
    <row r="864" spans="1:1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  <c r="O864" s="6" t="str">
        <f t="shared" si="13"/>
        <v>Normal</v>
      </c>
    </row>
    <row r="865" spans="1:1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  <c r="O865" s="6" t="str">
        <f t="shared" si="13"/>
        <v>Normal</v>
      </c>
    </row>
    <row r="866" spans="1:1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  <c r="O866" s="6" t="str">
        <f t="shared" si="13"/>
        <v>Normal</v>
      </c>
    </row>
    <row r="867" spans="1:1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  <c r="O867" s="6" t="str">
        <f t="shared" si="13"/>
        <v>Normal</v>
      </c>
    </row>
    <row r="868" spans="1:1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  <c r="O868" s="6" t="str">
        <f t="shared" si="13"/>
        <v>Normal</v>
      </c>
    </row>
    <row r="869" spans="1:1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  <c r="O869" s="6" t="str">
        <f t="shared" si="13"/>
        <v>Normal</v>
      </c>
    </row>
    <row r="870" spans="1:1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s="4"/>
      <c r="M870" t="s">
        <v>4281</v>
      </c>
      <c r="N870" s="6">
        <v>1265.28</v>
      </c>
      <c r="O870" s="6" t="str">
        <f t="shared" si="13"/>
        <v>Normal</v>
      </c>
    </row>
    <row r="871" spans="1:1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  <c r="O871" s="6" t="str">
        <f t="shared" si="13"/>
        <v>Normal</v>
      </c>
    </row>
    <row r="872" spans="1:1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  <c r="O872" s="6" t="str">
        <f t="shared" si="13"/>
        <v>Normal</v>
      </c>
    </row>
    <row r="873" spans="1:1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  <c r="O873" s="6" t="str">
        <f t="shared" si="13"/>
        <v>Normal</v>
      </c>
    </row>
    <row r="874" spans="1:1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s="4"/>
      <c r="M874" t="s">
        <v>4280</v>
      </c>
      <c r="N874" s="6">
        <v>2517.36</v>
      </c>
      <c r="O874" s="6" t="str">
        <f t="shared" si="13"/>
        <v>Normal</v>
      </c>
    </row>
    <row r="875" spans="1:1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  <c r="O875" s="6" t="str">
        <f t="shared" si="13"/>
        <v>Normal</v>
      </c>
    </row>
    <row r="876" spans="1:1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  <c r="O876" s="6" t="str">
        <f t="shared" si="13"/>
        <v>Normal</v>
      </c>
    </row>
    <row r="877" spans="1:1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  <c r="O877" s="6" t="str">
        <f t="shared" si="13"/>
        <v>Normal</v>
      </c>
    </row>
    <row r="878" spans="1:1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  <c r="O878" s="6" t="str">
        <f t="shared" si="13"/>
        <v>Normal</v>
      </c>
    </row>
    <row r="879" spans="1:1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  <c r="O879" s="6" t="str">
        <f t="shared" si="13"/>
        <v>Normal</v>
      </c>
    </row>
    <row r="880" spans="1:1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  <c r="O880" s="6" t="str">
        <f t="shared" si="13"/>
        <v>Normal</v>
      </c>
    </row>
    <row r="881" spans="1:1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s="4"/>
      <c r="M881" t="s">
        <v>4278</v>
      </c>
      <c r="N881" s="6">
        <v>1095.3399999999999</v>
      </c>
      <c r="O881" s="6" t="str">
        <f t="shared" si="13"/>
        <v>Normal</v>
      </c>
    </row>
    <row r="882" spans="1:1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  <c r="O882" s="6" t="str">
        <f t="shared" si="13"/>
        <v>Normal</v>
      </c>
    </row>
    <row r="883" spans="1:1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s="4"/>
      <c r="M883" t="s">
        <v>4278</v>
      </c>
      <c r="N883" s="6">
        <v>897.7</v>
      </c>
      <c r="O883" s="6" t="str">
        <f t="shared" si="13"/>
        <v>Normal</v>
      </c>
    </row>
    <row r="884" spans="1:1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  <c r="O884" s="6" t="str">
        <f t="shared" si="13"/>
        <v>Normal</v>
      </c>
    </row>
    <row r="885" spans="1:1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  <c r="O885" s="6" t="str">
        <f t="shared" si="13"/>
        <v>Normal</v>
      </c>
    </row>
    <row r="886" spans="1:1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s="4"/>
      <c r="M886" t="s">
        <v>4278</v>
      </c>
      <c r="N886" s="6">
        <v>595.54</v>
      </c>
      <c r="O886" s="6" t="str">
        <f t="shared" si="13"/>
        <v>Normal</v>
      </c>
    </row>
    <row r="887" spans="1:1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  <c r="O887" s="6" t="str">
        <f t="shared" si="13"/>
        <v>Normal</v>
      </c>
    </row>
    <row r="888" spans="1:1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s="4"/>
      <c r="M888" t="s">
        <v>4282</v>
      </c>
      <c r="N888" s="6">
        <v>460.13</v>
      </c>
      <c r="O888" s="6" t="str">
        <f t="shared" si="13"/>
        <v>Normal</v>
      </c>
    </row>
    <row r="889" spans="1:1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s="4"/>
      <c r="M889" t="s">
        <v>4282</v>
      </c>
      <c r="N889" s="6">
        <v>514.98</v>
      </c>
      <c r="O889" s="6" t="str">
        <f t="shared" si="13"/>
        <v>Normal</v>
      </c>
    </row>
    <row r="890" spans="1:1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s="4"/>
      <c r="M890" t="s">
        <v>4278</v>
      </c>
      <c r="N890" s="6">
        <v>533.9</v>
      </c>
      <c r="O890" s="6" t="str">
        <f t="shared" si="13"/>
        <v>Normal</v>
      </c>
    </row>
    <row r="891" spans="1:1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  <c r="O891" s="6" t="str">
        <f t="shared" si="13"/>
        <v>Normal</v>
      </c>
    </row>
    <row r="892" spans="1:1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s="4"/>
      <c r="M892" t="s">
        <v>4282</v>
      </c>
      <c r="N892" s="6">
        <v>1318.59</v>
      </c>
      <c r="O892" s="6" t="str">
        <f t="shared" si="13"/>
        <v>Normal</v>
      </c>
    </row>
    <row r="893" spans="1:1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  <c r="O893" s="6" t="str">
        <f t="shared" si="13"/>
        <v>Normal</v>
      </c>
    </row>
    <row r="894" spans="1:1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  <c r="O894" s="6" t="str">
        <f t="shared" si="13"/>
        <v>Normal</v>
      </c>
    </row>
    <row r="895" spans="1:1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  <c r="O895" s="6" t="str">
        <f t="shared" si="13"/>
        <v>Normal</v>
      </c>
    </row>
    <row r="896" spans="1:1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  <c r="O896" s="6" t="str">
        <f t="shared" si="13"/>
        <v>Normal</v>
      </c>
    </row>
    <row r="897" spans="1:1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  <c r="O897" s="6" t="str">
        <f t="shared" si="13"/>
        <v>Normal</v>
      </c>
    </row>
    <row r="898" spans="1:1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  <c r="O898" s="6" t="str">
        <f t="shared" si="13"/>
        <v>Normal</v>
      </c>
    </row>
    <row r="899" spans="1:1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  <c r="O899" s="6" t="str">
        <f t="shared" ref="O899:O962" si="14">IF(OR(N899&lt;$P$10,N899&gt;$P$13),"Outlier","Normal")</f>
        <v>Normal</v>
      </c>
    </row>
    <row r="900" spans="1:1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s="4"/>
      <c r="M900" t="s">
        <v>4279</v>
      </c>
      <c r="N900" s="6">
        <v>475.11</v>
      </c>
      <c r="O900" s="6" t="str">
        <f t="shared" si="14"/>
        <v>Normal</v>
      </c>
    </row>
    <row r="901" spans="1:1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  <c r="O901" s="6" t="str">
        <f t="shared" si="14"/>
        <v>Normal</v>
      </c>
    </row>
    <row r="902" spans="1:1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s="4"/>
      <c r="M902" t="s">
        <v>4278</v>
      </c>
      <c r="N902" s="6">
        <v>369.15</v>
      </c>
      <c r="O902" s="6" t="str">
        <f t="shared" si="14"/>
        <v>Normal</v>
      </c>
    </row>
    <row r="903" spans="1:1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  <c r="O903" s="6" t="str">
        <f t="shared" si="14"/>
        <v>Normal</v>
      </c>
    </row>
    <row r="904" spans="1:1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s="4"/>
      <c r="M904" t="s">
        <v>4281</v>
      </c>
      <c r="N904" s="6">
        <v>721</v>
      </c>
      <c r="O904" s="6" t="str">
        <f t="shared" si="14"/>
        <v>Normal</v>
      </c>
    </row>
    <row r="905" spans="1:1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s="4"/>
      <c r="M905" t="s">
        <v>4280</v>
      </c>
      <c r="N905" s="6">
        <v>1420.47</v>
      </c>
      <c r="O905" s="6" t="str">
        <f t="shared" si="14"/>
        <v>Normal</v>
      </c>
    </row>
    <row r="906" spans="1:1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  <c r="O906" s="6" t="str">
        <f t="shared" si="14"/>
        <v>Normal</v>
      </c>
    </row>
    <row r="907" spans="1:1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  <c r="O907" s="6" t="str">
        <f t="shared" si="14"/>
        <v>Normal</v>
      </c>
    </row>
    <row r="908" spans="1:1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s="4"/>
      <c r="M908" t="s">
        <v>4280</v>
      </c>
      <c r="N908" s="6">
        <v>62.12</v>
      </c>
      <c r="O908" s="6" t="str">
        <f t="shared" si="14"/>
        <v>Normal</v>
      </c>
    </row>
    <row r="909" spans="1:1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  <c r="O909" s="6" t="str">
        <f t="shared" si="14"/>
        <v>Normal</v>
      </c>
    </row>
    <row r="910" spans="1:1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  <c r="O910" s="6" t="str">
        <f t="shared" si="14"/>
        <v>Normal</v>
      </c>
    </row>
    <row r="911" spans="1:1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  <c r="O911" s="6" t="str">
        <f t="shared" si="14"/>
        <v>Normal</v>
      </c>
    </row>
    <row r="912" spans="1:1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  <c r="O912" s="6" t="str">
        <f t="shared" si="14"/>
        <v>Normal</v>
      </c>
    </row>
    <row r="913" spans="1:1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  <c r="O913" s="6" t="str">
        <f t="shared" si="14"/>
        <v>Normal</v>
      </c>
    </row>
    <row r="914" spans="1:1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  <c r="O914" s="6" t="str">
        <f t="shared" si="14"/>
        <v>Normal</v>
      </c>
    </row>
    <row r="915" spans="1:1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  <c r="O915" s="6" t="str">
        <f t="shared" si="14"/>
        <v>Normal</v>
      </c>
    </row>
    <row r="916" spans="1:1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  <c r="O916" s="6" t="str">
        <f t="shared" si="14"/>
        <v>Normal</v>
      </c>
    </row>
    <row r="917" spans="1:1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  <c r="O917" s="6" t="str">
        <f t="shared" si="14"/>
        <v>Normal</v>
      </c>
    </row>
    <row r="918" spans="1:1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s="4"/>
      <c r="M918" t="s">
        <v>4279</v>
      </c>
      <c r="N918" s="6">
        <v>2894.15</v>
      </c>
      <c r="O918" s="6" t="str">
        <f t="shared" si="14"/>
        <v>Normal</v>
      </c>
    </row>
    <row r="919" spans="1:1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  <c r="O919" s="6" t="str">
        <f t="shared" si="14"/>
        <v>Normal</v>
      </c>
    </row>
    <row r="920" spans="1:1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s="4"/>
      <c r="M920" t="s">
        <v>4278</v>
      </c>
      <c r="N920" s="6">
        <v>1841.25</v>
      </c>
      <c r="O920" s="6" t="str">
        <f t="shared" si="14"/>
        <v>Normal</v>
      </c>
    </row>
    <row r="921" spans="1:1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  <c r="O921" s="6" t="str">
        <f t="shared" si="14"/>
        <v>Normal</v>
      </c>
    </row>
    <row r="922" spans="1:1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s="4"/>
      <c r="M922" t="s">
        <v>4278</v>
      </c>
      <c r="N922" s="6">
        <v>856.18</v>
      </c>
      <c r="O922" s="6" t="str">
        <f t="shared" si="14"/>
        <v>Normal</v>
      </c>
    </row>
    <row r="923" spans="1:1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  <c r="O923" s="6" t="str">
        <f t="shared" si="14"/>
        <v>Normal</v>
      </c>
    </row>
    <row r="924" spans="1:1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s="4"/>
      <c r="M924" t="s">
        <v>4278</v>
      </c>
      <c r="N924" s="6">
        <v>1127.6400000000001</v>
      </c>
      <c r="O924" s="6" t="str">
        <f t="shared" si="14"/>
        <v>Normal</v>
      </c>
    </row>
    <row r="925" spans="1:1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  <c r="O925" s="6" t="str">
        <f t="shared" si="14"/>
        <v>Normal</v>
      </c>
    </row>
    <row r="926" spans="1:1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  <c r="O926" s="6" t="str">
        <f t="shared" si="14"/>
        <v>Normal</v>
      </c>
    </row>
    <row r="927" spans="1:1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  <c r="O927" s="6" t="str">
        <f t="shared" si="14"/>
        <v>Normal</v>
      </c>
    </row>
    <row r="928" spans="1:1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  <c r="O928" s="6" t="str">
        <f t="shared" si="14"/>
        <v>Normal</v>
      </c>
    </row>
    <row r="929" spans="1:1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  <c r="O929" s="6" t="str">
        <f t="shared" si="14"/>
        <v>Normal</v>
      </c>
    </row>
    <row r="930" spans="1:1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  <c r="O930" s="6" t="str">
        <f t="shared" si="14"/>
        <v>Normal</v>
      </c>
    </row>
    <row r="931" spans="1:1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s="4"/>
      <c r="M931" t="s">
        <v>4280</v>
      </c>
      <c r="N931" s="6">
        <v>1072.5</v>
      </c>
      <c r="O931" s="6" t="str">
        <f t="shared" si="14"/>
        <v>Normal</v>
      </c>
    </row>
    <row r="932" spans="1:1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  <c r="O932" s="6" t="str">
        <f t="shared" si="14"/>
        <v>Normal</v>
      </c>
    </row>
    <row r="933" spans="1:1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  <c r="O933" s="6" t="str">
        <f t="shared" si="14"/>
        <v>Normal</v>
      </c>
    </row>
    <row r="934" spans="1:1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  <c r="O934" s="6" t="str">
        <f t="shared" si="14"/>
        <v>Normal</v>
      </c>
    </row>
    <row r="935" spans="1:1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s="4"/>
      <c r="M935" t="s">
        <v>4279</v>
      </c>
      <c r="N935" s="6">
        <v>788.32</v>
      </c>
      <c r="O935" s="6" t="str">
        <f t="shared" si="14"/>
        <v>Normal</v>
      </c>
    </row>
    <row r="936" spans="1:1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  <c r="O936" s="6" t="str">
        <f t="shared" si="14"/>
        <v>Normal</v>
      </c>
    </row>
    <row r="937" spans="1:1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  <c r="O937" s="6" t="str">
        <f t="shared" si="14"/>
        <v>Normal</v>
      </c>
    </row>
    <row r="938" spans="1:1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  <c r="O938" s="6" t="str">
        <f t="shared" si="14"/>
        <v>Normal</v>
      </c>
    </row>
    <row r="939" spans="1:1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  <c r="O939" s="6" t="str">
        <f t="shared" si="14"/>
        <v>Normal</v>
      </c>
    </row>
    <row r="940" spans="1:1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  <c r="O940" s="6" t="str">
        <f t="shared" si="14"/>
        <v>Normal</v>
      </c>
    </row>
    <row r="941" spans="1:1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  <c r="O941" s="6" t="str">
        <f t="shared" si="14"/>
        <v>Normal</v>
      </c>
    </row>
    <row r="942" spans="1:1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  <c r="O942" s="6" t="str">
        <f t="shared" si="14"/>
        <v>Normal</v>
      </c>
    </row>
    <row r="943" spans="1:1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  <c r="O943" s="6" t="str">
        <f t="shared" si="14"/>
        <v>Normal</v>
      </c>
    </row>
    <row r="944" spans="1:1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s="4"/>
      <c r="M944" t="s">
        <v>4280</v>
      </c>
      <c r="N944" s="6">
        <v>479.76</v>
      </c>
      <c r="O944" s="6" t="str">
        <f t="shared" si="14"/>
        <v>Normal</v>
      </c>
    </row>
    <row r="945" spans="1:1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  <c r="O945" s="6" t="str">
        <f t="shared" si="14"/>
        <v>Normal</v>
      </c>
    </row>
    <row r="946" spans="1:1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  <c r="O946" s="6" t="str">
        <f t="shared" si="14"/>
        <v>Normal</v>
      </c>
    </row>
    <row r="947" spans="1:1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  <c r="O947" s="6" t="str">
        <f t="shared" si="14"/>
        <v>Normal</v>
      </c>
    </row>
    <row r="948" spans="1:1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  <c r="O948" s="6" t="str">
        <f t="shared" si="14"/>
        <v>Normal</v>
      </c>
    </row>
    <row r="949" spans="1:1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  <c r="O949" s="6" t="str">
        <f t="shared" si="14"/>
        <v>Normal</v>
      </c>
    </row>
    <row r="950" spans="1:1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s="4"/>
      <c r="M950" t="s">
        <v>4282</v>
      </c>
      <c r="N950" s="6">
        <v>1188.1400000000001</v>
      </c>
      <c r="O950" s="6" t="str">
        <f t="shared" si="14"/>
        <v>Normal</v>
      </c>
    </row>
    <row r="951" spans="1:1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s="4"/>
      <c r="M951" t="s">
        <v>4279</v>
      </c>
      <c r="N951" s="6">
        <v>551.9</v>
      </c>
      <c r="O951" s="6" t="str">
        <f t="shared" si="14"/>
        <v>Normal</v>
      </c>
    </row>
    <row r="952" spans="1:1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  <c r="O952" s="6" t="str">
        <f t="shared" si="14"/>
        <v>Normal</v>
      </c>
    </row>
    <row r="953" spans="1:1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  <c r="O953" s="6" t="str">
        <f t="shared" si="14"/>
        <v>Normal</v>
      </c>
    </row>
    <row r="954" spans="1:1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s="4"/>
      <c r="M954" t="s">
        <v>4281</v>
      </c>
      <c r="N954" s="6">
        <v>1510.17</v>
      </c>
      <c r="O954" s="6" t="str">
        <f t="shared" si="14"/>
        <v>Normal</v>
      </c>
    </row>
    <row r="955" spans="1:1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  <c r="O955" s="6" t="str">
        <f t="shared" si="14"/>
        <v>Normal</v>
      </c>
    </row>
    <row r="956" spans="1:1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  <c r="O956" s="6" t="str">
        <f t="shared" si="14"/>
        <v>Normal</v>
      </c>
    </row>
    <row r="957" spans="1:1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  <c r="O957" s="6" t="str">
        <f t="shared" si="14"/>
        <v>Normal</v>
      </c>
    </row>
    <row r="958" spans="1:1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  <c r="O958" s="6" t="str">
        <f t="shared" si="14"/>
        <v>Normal</v>
      </c>
    </row>
    <row r="959" spans="1:1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  <c r="O959" s="6" t="str">
        <f t="shared" si="14"/>
        <v>Normal</v>
      </c>
    </row>
    <row r="960" spans="1:1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  <c r="O960" s="6" t="str">
        <f t="shared" si="14"/>
        <v>Normal</v>
      </c>
    </row>
    <row r="961" spans="1:1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  <c r="O961" s="6" t="str">
        <f t="shared" si="14"/>
        <v>Normal</v>
      </c>
    </row>
    <row r="962" spans="1:1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  <c r="O962" s="6" t="str">
        <f t="shared" si="14"/>
        <v>Normal</v>
      </c>
    </row>
    <row r="963" spans="1:1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s="4"/>
      <c r="M963" t="s">
        <v>4281</v>
      </c>
      <c r="N963" s="6">
        <v>601.36</v>
      </c>
      <c r="O963" s="6" t="str">
        <f t="shared" ref="O963:O1026" si="15">IF(OR(N963&lt;$P$10,N963&gt;$P$13),"Outlier","Normal")</f>
        <v>Normal</v>
      </c>
    </row>
    <row r="964" spans="1:1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  <c r="O964" s="6" t="str">
        <f t="shared" si="15"/>
        <v>Normal</v>
      </c>
    </row>
    <row r="965" spans="1:1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  <c r="O965" s="6" t="str">
        <f t="shared" si="15"/>
        <v>Normal</v>
      </c>
    </row>
    <row r="966" spans="1:1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  <c r="O966" s="6" t="str">
        <f t="shared" si="15"/>
        <v>Normal</v>
      </c>
    </row>
    <row r="967" spans="1:1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  <c r="O967" s="6" t="str">
        <f t="shared" si="15"/>
        <v>Normal</v>
      </c>
    </row>
    <row r="968" spans="1:1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  <c r="O968" s="6" t="str">
        <f t="shared" si="15"/>
        <v>Normal</v>
      </c>
    </row>
    <row r="969" spans="1:1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  <c r="O969" s="6" t="str">
        <f t="shared" si="15"/>
        <v>Normal</v>
      </c>
    </row>
    <row r="970" spans="1:1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  <c r="O970" s="6" t="str">
        <f t="shared" si="15"/>
        <v>Normal</v>
      </c>
    </row>
    <row r="971" spans="1:1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  <c r="O971" s="6" t="str">
        <f t="shared" si="15"/>
        <v>Normal</v>
      </c>
    </row>
    <row r="972" spans="1:1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  <c r="O972" s="6" t="str">
        <f t="shared" si="15"/>
        <v>Normal</v>
      </c>
    </row>
    <row r="973" spans="1:1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  <c r="O973" s="6" t="str">
        <f t="shared" si="15"/>
        <v>Normal</v>
      </c>
    </row>
    <row r="974" spans="1:1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  <c r="O974" s="6" t="str">
        <f t="shared" si="15"/>
        <v>Normal</v>
      </c>
    </row>
    <row r="975" spans="1:1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  <c r="O975" s="6" t="str">
        <f t="shared" si="15"/>
        <v>Normal</v>
      </c>
    </row>
    <row r="976" spans="1:1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s="4"/>
      <c r="M976" t="s">
        <v>4280</v>
      </c>
      <c r="N976" s="6">
        <v>1333.9</v>
      </c>
      <c r="O976" s="6" t="str">
        <f t="shared" si="15"/>
        <v>Normal</v>
      </c>
    </row>
    <row r="977" spans="1:1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  <c r="O977" s="6" t="str">
        <f t="shared" si="15"/>
        <v>Normal</v>
      </c>
    </row>
    <row r="978" spans="1:1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  <c r="O978" s="6" t="str">
        <f t="shared" si="15"/>
        <v>Normal</v>
      </c>
    </row>
    <row r="979" spans="1:1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  <c r="O979" s="6" t="str">
        <f t="shared" si="15"/>
        <v>Normal</v>
      </c>
    </row>
    <row r="980" spans="1:1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s="4"/>
      <c r="M980" t="s">
        <v>4282</v>
      </c>
      <c r="N980" s="6">
        <v>429.96</v>
      </c>
      <c r="O980" s="6" t="str">
        <f t="shared" si="15"/>
        <v>Normal</v>
      </c>
    </row>
    <row r="981" spans="1:1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  <c r="O981" s="6" t="str">
        <f t="shared" si="15"/>
        <v>Normal</v>
      </c>
    </row>
    <row r="982" spans="1:1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  <c r="O982" s="6" t="str">
        <f t="shared" si="15"/>
        <v>Normal</v>
      </c>
    </row>
    <row r="983" spans="1:1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  <c r="O983" s="6" t="str">
        <f t="shared" si="15"/>
        <v>Normal</v>
      </c>
    </row>
    <row r="984" spans="1:1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  <c r="O984" s="6" t="str">
        <f t="shared" si="15"/>
        <v>Normal</v>
      </c>
    </row>
    <row r="985" spans="1:1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  <c r="O985" s="6" t="str">
        <f t="shared" si="15"/>
        <v>Normal</v>
      </c>
    </row>
    <row r="986" spans="1:1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  <c r="O986" s="6" t="str">
        <f t="shared" si="15"/>
        <v>Normal</v>
      </c>
    </row>
    <row r="987" spans="1:1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  <c r="O987" s="6" t="str">
        <f t="shared" si="15"/>
        <v>Normal</v>
      </c>
    </row>
    <row r="988" spans="1:1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  <c r="O988" s="6" t="str">
        <f t="shared" si="15"/>
        <v>Normal</v>
      </c>
    </row>
    <row r="989" spans="1:1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  <c r="O989" s="6" t="str">
        <f t="shared" si="15"/>
        <v>Normal</v>
      </c>
    </row>
    <row r="990" spans="1:1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  <c r="O990" s="6" t="str">
        <f t="shared" si="15"/>
        <v>Normal</v>
      </c>
    </row>
    <row r="991" spans="1:1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  <c r="O991" s="6" t="str">
        <f t="shared" si="15"/>
        <v>Normal</v>
      </c>
    </row>
    <row r="992" spans="1:1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  <c r="O992" s="6" t="str">
        <f t="shared" si="15"/>
        <v>Normal</v>
      </c>
    </row>
    <row r="993" spans="1:1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  <c r="O993" s="6" t="str">
        <f t="shared" si="15"/>
        <v>Normal</v>
      </c>
    </row>
    <row r="994" spans="1:1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  <c r="O994" s="6" t="str">
        <f t="shared" si="15"/>
        <v>Normal</v>
      </c>
    </row>
    <row r="995" spans="1:1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  <c r="O995" s="6" t="str">
        <f t="shared" si="15"/>
        <v>Normal</v>
      </c>
    </row>
    <row r="996" spans="1:1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  <c r="O996" s="6" t="str">
        <f t="shared" si="15"/>
        <v>Normal</v>
      </c>
    </row>
    <row r="997" spans="1:1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  <c r="O997" s="6" t="str">
        <f t="shared" si="15"/>
        <v>Normal</v>
      </c>
    </row>
    <row r="998" spans="1:1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  <c r="O998" s="6" t="str">
        <f t="shared" si="15"/>
        <v>Normal</v>
      </c>
    </row>
    <row r="999" spans="1:1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  <c r="O999" s="6" t="str">
        <f t="shared" si="15"/>
        <v>Normal</v>
      </c>
    </row>
    <row r="1000" spans="1:1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  <c r="O1000" s="6" t="str">
        <f t="shared" si="15"/>
        <v>Normal</v>
      </c>
    </row>
    <row r="1001" spans="1:1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  <c r="O1001" s="6" t="str">
        <f t="shared" si="15"/>
        <v>Normal</v>
      </c>
    </row>
    <row r="1002" spans="1:1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  <c r="O1002" s="6" t="str">
        <f t="shared" si="15"/>
        <v>Normal</v>
      </c>
    </row>
    <row r="1003" spans="1:1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s="4"/>
      <c r="M1003" t="s">
        <v>4279</v>
      </c>
      <c r="N1003" s="6">
        <v>507.36</v>
      </c>
      <c r="O1003" s="6" t="str">
        <f t="shared" si="15"/>
        <v>Normal</v>
      </c>
    </row>
    <row r="1004" spans="1:1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  <c r="O1004" s="6" t="str">
        <f t="shared" si="15"/>
        <v>Normal</v>
      </c>
    </row>
    <row r="1005" spans="1:1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  <c r="O1005" s="6" t="str">
        <f t="shared" si="15"/>
        <v>Normal</v>
      </c>
    </row>
    <row r="1006" spans="1:1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  <c r="O1006" s="6" t="str">
        <f t="shared" si="15"/>
        <v>Normal</v>
      </c>
    </row>
    <row r="1007" spans="1:1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s="4"/>
      <c r="M1007" t="s">
        <v>4282</v>
      </c>
      <c r="N1007" s="6">
        <v>1178.55</v>
      </c>
      <c r="O1007" s="6" t="str">
        <f t="shared" si="15"/>
        <v>Normal</v>
      </c>
    </row>
    <row r="1008" spans="1:1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  <c r="O1008" s="6" t="str">
        <f t="shared" si="15"/>
        <v>Normal</v>
      </c>
    </row>
    <row r="1009" spans="1:1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  <c r="O1009" s="6" t="str">
        <f t="shared" si="15"/>
        <v>Normal</v>
      </c>
    </row>
    <row r="1010" spans="1:1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  <c r="O1010" s="6" t="str">
        <f t="shared" si="15"/>
        <v>Normal</v>
      </c>
    </row>
    <row r="1011" spans="1:1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  <c r="O1011" s="6" t="str">
        <f t="shared" si="15"/>
        <v>Normal</v>
      </c>
    </row>
    <row r="1012" spans="1:1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  <c r="O1012" s="6" t="str">
        <f t="shared" si="15"/>
        <v>Normal</v>
      </c>
    </row>
    <row r="1013" spans="1:1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s="4"/>
      <c r="M1013" t="s">
        <v>4282</v>
      </c>
      <c r="N1013" s="6">
        <v>956.72</v>
      </c>
      <c r="O1013" s="6" t="str">
        <f t="shared" si="15"/>
        <v>Normal</v>
      </c>
    </row>
    <row r="1014" spans="1:1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s="4"/>
      <c r="M1014" t="s">
        <v>4281</v>
      </c>
      <c r="N1014" s="6">
        <v>120.2</v>
      </c>
      <c r="O1014" s="6" t="str">
        <f t="shared" si="15"/>
        <v>Normal</v>
      </c>
    </row>
    <row r="1015" spans="1:1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  <c r="O1015" s="6" t="str">
        <f t="shared" si="15"/>
        <v>Normal</v>
      </c>
    </row>
    <row r="1016" spans="1:1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  <c r="O1016" s="6" t="str">
        <f t="shared" si="15"/>
        <v>Normal</v>
      </c>
    </row>
    <row r="1017" spans="1:1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  <c r="O1017" s="6" t="str">
        <f t="shared" si="15"/>
        <v>Normal</v>
      </c>
    </row>
    <row r="1018" spans="1:1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  <c r="O1018" s="6" t="str">
        <f t="shared" si="15"/>
        <v>Normal</v>
      </c>
    </row>
    <row r="1019" spans="1:1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  <c r="O1019" s="6" t="str">
        <f t="shared" si="15"/>
        <v>Normal</v>
      </c>
    </row>
    <row r="1020" spans="1:1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s="4"/>
      <c r="M1020" t="s">
        <v>4278</v>
      </c>
      <c r="N1020" s="6">
        <v>547.43999999999994</v>
      </c>
      <c r="O1020" s="6" t="str">
        <f t="shared" si="15"/>
        <v>Normal</v>
      </c>
    </row>
    <row r="1021" spans="1:1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  <c r="O1021" s="6" t="str">
        <f t="shared" si="15"/>
        <v>Normal</v>
      </c>
    </row>
    <row r="1022" spans="1:1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  <c r="O1022" s="6" t="str">
        <f t="shared" si="15"/>
        <v>Normal</v>
      </c>
    </row>
    <row r="1023" spans="1:1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  <c r="O1023" s="6" t="str">
        <f t="shared" si="15"/>
        <v>Normal</v>
      </c>
    </row>
    <row r="1024" spans="1:1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  <c r="O1024" s="6" t="str">
        <f t="shared" si="15"/>
        <v>Normal</v>
      </c>
    </row>
    <row r="1025" spans="1:1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s="4"/>
      <c r="M1025" t="s">
        <v>4279</v>
      </c>
      <c r="N1025" s="6">
        <v>1168.3499999999999</v>
      </c>
      <c r="O1025" s="6" t="str">
        <f t="shared" si="15"/>
        <v>Normal</v>
      </c>
    </row>
    <row r="1026" spans="1:1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  <c r="O1026" s="6" t="str">
        <f t="shared" si="15"/>
        <v>Normal</v>
      </c>
    </row>
    <row r="1027" spans="1:1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  <c r="O1027" s="6" t="str">
        <f t="shared" ref="O1027:O1090" si="16">IF(OR(N1027&lt;$P$10,N1027&gt;$P$13),"Outlier","Normal")</f>
        <v>Normal</v>
      </c>
    </row>
    <row r="1028" spans="1:1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  <c r="O1028" s="6" t="str">
        <f t="shared" si="16"/>
        <v>Normal</v>
      </c>
    </row>
    <row r="1029" spans="1:1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s="4"/>
      <c r="M1029" t="s">
        <v>4282</v>
      </c>
      <c r="N1029" s="6">
        <v>2219.3200000000002</v>
      </c>
      <c r="O1029" s="6" t="str">
        <f t="shared" si="16"/>
        <v>Normal</v>
      </c>
    </row>
    <row r="1030" spans="1:1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s="4"/>
      <c r="M1030" t="s">
        <v>4278</v>
      </c>
      <c r="N1030" s="6">
        <v>1761.24</v>
      </c>
      <c r="O1030" s="6" t="str">
        <f t="shared" si="16"/>
        <v>Normal</v>
      </c>
    </row>
    <row r="1031" spans="1:1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  <c r="O1031" s="6" t="str">
        <f t="shared" si="16"/>
        <v>Normal</v>
      </c>
    </row>
    <row r="1032" spans="1:1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  <c r="O1032" s="6" t="str">
        <f t="shared" si="16"/>
        <v>Normal</v>
      </c>
    </row>
    <row r="1033" spans="1:1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  <c r="O1033" s="6" t="str">
        <f t="shared" si="16"/>
        <v>Normal</v>
      </c>
    </row>
    <row r="1034" spans="1:1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  <c r="O1034" s="6" t="str">
        <f t="shared" si="16"/>
        <v>Normal</v>
      </c>
    </row>
    <row r="1035" spans="1:1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  <c r="O1035" s="6" t="str">
        <f t="shared" si="16"/>
        <v>Normal</v>
      </c>
    </row>
    <row r="1036" spans="1:1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  <c r="O1036" s="6" t="str">
        <f t="shared" si="16"/>
        <v>Normal</v>
      </c>
    </row>
    <row r="1037" spans="1:1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s="4"/>
      <c r="M1037" t="s">
        <v>4279</v>
      </c>
      <c r="N1037" s="6">
        <v>2024.44</v>
      </c>
      <c r="O1037" s="6" t="str">
        <f t="shared" si="16"/>
        <v>Normal</v>
      </c>
    </row>
    <row r="1038" spans="1:1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  <c r="O1038" s="6" t="str">
        <f t="shared" si="16"/>
        <v>Normal</v>
      </c>
    </row>
    <row r="1039" spans="1:1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  <c r="O1039" s="6" t="str">
        <f t="shared" si="16"/>
        <v>Normal</v>
      </c>
    </row>
    <row r="1040" spans="1:1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s="4"/>
      <c r="M1040" t="s">
        <v>4281</v>
      </c>
      <c r="N1040" s="6">
        <v>1087.5899999999999</v>
      </c>
      <c r="O1040" s="6" t="str">
        <f t="shared" si="16"/>
        <v>Normal</v>
      </c>
    </row>
    <row r="1041" spans="1:1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  <c r="O1041" s="6" t="str">
        <f t="shared" si="16"/>
        <v>Normal</v>
      </c>
    </row>
    <row r="1042" spans="1:1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  <c r="O1042" s="6" t="str">
        <f t="shared" si="16"/>
        <v>Normal</v>
      </c>
    </row>
    <row r="1043" spans="1:1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  <c r="O1043" s="6" t="str">
        <f t="shared" si="16"/>
        <v>Normal</v>
      </c>
    </row>
    <row r="1044" spans="1:1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  <c r="O1044" s="6" t="str">
        <f t="shared" si="16"/>
        <v>Normal</v>
      </c>
    </row>
    <row r="1045" spans="1:1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s="4"/>
      <c r="M1045" t="s">
        <v>4278</v>
      </c>
      <c r="N1045" s="6">
        <v>359.92</v>
      </c>
      <c r="O1045" s="6" t="str">
        <f t="shared" si="16"/>
        <v>Normal</v>
      </c>
    </row>
    <row r="1046" spans="1:1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  <c r="O1046" s="6" t="str">
        <f t="shared" si="16"/>
        <v>Normal</v>
      </c>
    </row>
    <row r="1047" spans="1:1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s="4"/>
      <c r="M1047" t="s">
        <v>4280</v>
      </c>
      <c r="N1047" s="6">
        <v>1582</v>
      </c>
      <c r="O1047" s="6" t="str">
        <f t="shared" si="16"/>
        <v>Normal</v>
      </c>
    </row>
    <row r="1048" spans="1:1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  <c r="O1048" s="6" t="str">
        <f t="shared" si="16"/>
        <v>Normal</v>
      </c>
    </row>
    <row r="1049" spans="1:1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  <c r="O1049" s="6" t="str">
        <f t="shared" si="16"/>
        <v>Normal</v>
      </c>
    </row>
    <row r="1050" spans="1:1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s="4"/>
      <c r="M1050" t="s">
        <v>4282</v>
      </c>
      <c r="N1050" s="6">
        <v>294.60000000000002</v>
      </c>
      <c r="O1050" s="6" t="str">
        <f t="shared" si="16"/>
        <v>Normal</v>
      </c>
    </row>
    <row r="1051" spans="1:1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s="4"/>
      <c r="M1051" t="s">
        <v>4278</v>
      </c>
      <c r="N1051" s="6">
        <v>1959.3</v>
      </c>
      <c r="O1051" s="6" t="str">
        <f t="shared" si="16"/>
        <v>Normal</v>
      </c>
    </row>
    <row r="1052" spans="1:1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s="4"/>
      <c r="M1052" t="s">
        <v>4278</v>
      </c>
      <c r="N1052" s="6">
        <v>348.5</v>
      </c>
      <c r="O1052" s="6" t="str">
        <f t="shared" si="16"/>
        <v>Normal</v>
      </c>
    </row>
    <row r="1053" spans="1:1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  <c r="O1053" s="6" t="str">
        <f t="shared" si="16"/>
        <v>Normal</v>
      </c>
    </row>
    <row r="1054" spans="1:1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  <c r="O1054" s="6" t="str">
        <f t="shared" si="16"/>
        <v>Normal</v>
      </c>
    </row>
    <row r="1055" spans="1:1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  <c r="O1055" s="6" t="str">
        <f t="shared" si="16"/>
        <v>Normal</v>
      </c>
    </row>
    <row r="1056" spans="1:1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  <c r="O1056" s="6" t="str">
        <f t="shared" si="16"/>
        <v>Normal</v>
      </c>
    </row>
    <row r="1057" spans="1:1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  <c r="O1057" s="6" t="str">
        <f t="shared" si="16"/>
        <v>Normal</v>
      </c>
    </row>
    <row r="1058" spans="1:1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  <c r="O1058" s="6" t="str">
        <f t="shared" si="16"/>
        <v>Normal</v>
      </c>
    </row>
    <row r="1059" spans="1:1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  <c r="O1059" s="6" t="str">
        <f t="shared" si="16"/>
        <v>Normal</v>
      </c>
    </row>
    <row r="1060" spans="1:1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  <c r="O1060" s="6" t="str">
        <f t="shared" si="16"/>
        <v>Normal</v>
      </c>
    </row>
    <row r="1061" spans="1:1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  <c r="O1061" s="6" t="str">
        <f t="shared" si="16"/>
        <v>Normal</v>
      </c>
    </row>
    <row r="1062" spans="1:1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  <c r="O1062" s="6" t="str">
        <f t="shared" si="16"/>
        <v>Normal</v>
      </c>
    </row>
    <row r="1063" spans="1:1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  <c r="O1063" s="6" t="str">
        <f t="shared" si="16"/>
        <v>Normal</v>
      </c>
    </row>
    <row r="1064" spans="1:1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s="4"/>
      <c r="M1064" t="s">
        <v>4281</v>
      </c>
      <c r="N1064" s="6">
        <v>427.6</v>
      </c>
      <c r="O1064" s="6" t="str">
        <f t="shared" si="16"/>
        <v>Normal</v>
      </c>
    </row>
    <row r="1065" spans="1:1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  <c r="O1065" s="6" t="str">
        <f t="shared" si="16"/>
        <v>Normal</v>
      </c>
    </row>
    <row r="1066" spans="1:1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  <c r="O1066" s="6" t="str">
        <f t="shared" si="16"/>
        <v>Normal</v>
      </c>
    </row>
    <row r="1067" spans="1:1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  <c r="O1067" s="6" t="str">
        <f t="shared" si="16"/>
        <v>Outlier</v>
      </c>
    </row>
    <row r="1068" spans="1:1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  <c r="O1068" s="6" t="str">
        <f t="shared" si="16"/>
        <v>Normal</v>
      </c>
    </row>
    <row r="1069" spans="1:1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s="4"/>
      <c r="M1069" t="s">
        <v>4278</v>
      </c>
      <c r="N1069" s="6">
        <v>632.4</v>
      </c>
      <c r="O1069" s="6" t="str">
        <f t="shared" si="16"/>
        <v>Normal</v>
      </c>
    </row>
    <row r="1070" spans="1:1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  <c r="O1070" s="6" t="str">
        <f t="shared" si="16"/>
        <v>Normal</v>
      </c>
    </row>
    <row r="1071" spans="1:1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s="4"/>
      <c r="M1071" t="s">
        <v>4281</v>
      </c>
      <c r="N1071" s="6">
        <v>454.23</v>
      </c>
      <c r="O1071" s="6" t="str">
        <f t="shared" si="16"/>
        <v>Normal</v>
      </c>
    </row>
    <row r="1072" spans="1:1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s="4"/>
      <c r="M1072" t="s">
        <v>4280</v>
      </c>
      <c r="N1072" s="6">
        <v>1965.16</v>
      </c>
      <c r="O1072" s="6" t="str">
        <f t="shared" si="16"/>
        <v>Normal</v>
      </c>
    </row>
    <row r="1073" spans="1:1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s="4"/>
      <c r="M1073" t="s">
        <v>4282</v>
      </c>
      <c r="N1073" s="6">
        <v>510.28</v>
      </c>
      <c r="O1073" s="6" t="str">
        <f t="shared" si="16"/>
        <v>Normal</v>
      </c>
    </row>
    <row r="1074" spans="1:1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  <c r="O1074" s="6" t="str">
        <f t="shared" si="16"/>
        <v>Normal</v>
      </c>
    </row>
    <row r="1075" spans="1:1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s="4"/>
      <c r="M1075" t="s">
        <v>4281</v>
      </c>
      <c r="N1075" s="6">
        <v>1448.24</v>
      </c>
      <c r="O1075" s="6" t="str">
        <f t="shared" si="16"/>
        <v>Normal</v>
      </c>
    </row>
    <row r="1076" spans="1:1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s="4"/>
      <c r="M1076" t="s">
        <v>4282</v>
      </c>
      <c r="N1076" s="6">
        <v>222.73</v>
      </c>
      <c r="O1076" s="6" t="str">
        <f t="shared" si="16"/>
        <v>Normal</v>
      </c>
    </row>
    <row r="1077" spans="1:1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  <c r="O1077" s="6" t="str">
        <f t="shared" si="16"/>
        <v>Normal</v>
      </c>
    </row>
    <row r="1078" spans="1:1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s="4"/>
      <c r="M1078" t="s">
        <v>4279</v>
      </c>
      <c r="N1078" s="6">
        <v>2746.44</v>
      </c>
      <c r="O1078" s="6" t="str">
        <f t="shared" si="16"/>
        <v>Normal</v>
      </c>
    </row>
    <row r="1079" spans="1:1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  <c r="O1079" s="6" t="str">
        <f t="shared" si="16"/>
        <v>Normal</v>
      </c>
    </row>
    <row r="1080" spans="1:1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  <c r="O1080" s="6" t="str">
        <f t="shared" si="16"/>
        <v>Normal</v>
      </c>
    </row>
    <row r="1081" spans="1:1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s="4"/>
      <c r="M1081" t="s">
        <v>4280</v>
      </c>
      <c r="N1081" s="6">
        <v>3170</v>
      </c>
      <c r="O1081" s="6" t="str">
        <f t="shared" si="16"/>
        <v>Normal</v>
      </c>
    </row>
    <row r="1082" spans="1:1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s="4"/>
      <c r="M1082" t="s">
        <v>4279</v>
      </c>
      <c r="N1082" s="6">
        <v>2323.6999999999998</v>
      </c>
      <c r="O1082" s="6" t="str">
        <f t="shared" si="16"/>
        <v>Normal</v>
      </c>
    </row>
    <row r="1083" spans="1:1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  <c r="O1083" s="6" t="str">
        <f t="shared" si="16"/>
        <v>Normal</v>
      </c>
    </row>
    <row r="1084" spans="1:1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  <c r="O1084" s="6" t="str">
        <f t="shared" si="16"/>
        <v>Normal</v>
      </c>
    </row>
    <row r="1085" spans="1:1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  <c r="O1085" s="6" t="str">
        <f t="shared" si="16"/>
        <v>Normal</v>
      </c>
    </row>
    <row r="1086" spans="1:1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  <c r="O1086" s="6" t="str">
        <f t="shared" si="16"/>
        <v>Normal</v>
      </c>
    </row>
    <row r="1087" spans="1:1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  <c r="O1087" s="6" t="str">
        <f t="shared" si="16"/>
        <v>Normal</v>
      </c>
    </row>
    <row r="1088" spans="1:1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  <c r="O1088" s="6" t="str">
        <f t="shared" si="16"/>
        <v>Normal</v>
      </c>
    </row>
    <row r="1089" spans="1:1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  <c r="O1089" s="6" t="str">
        <f t="shared" si="16"/>
        <v>Normal</v>
      </c>
    </row>
    <row r="1090" spans="1:1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  <c r="O1090" s="6" t="str">
        <f t="shared" si="16"/>
        <v>Normal</v>
      </c>
    </row>
    <row r="1091" spans="1:1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s="4"/>
      <c r="M1091" t="s">
        <v>4278</v>
      </c>
      <c r="N1091" s="6">
        <v>1199.48</v>
      </c>
      <c r="O1091" s="6" t="str">
        <f t="shared" ref="O1091:O1154" si="17">IF(OR(N1091&lt;$P$10,N1091&gt;$P$13),"Outlier","Normal")</f>
        <v>Normal</v>
      </c>
    </row>
    <row r="1092" spans="1:1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s="4"/>
      <c r="M1092" t="s">
        <v>4278</v>
      </c>
      <c r="N1092" s="6">
        <v>1300.5</v>
      </c>
      <c r="O1092" s="6" t="str">
        <f t="shared" si="17"/>
        <v>Normal</v>
      </c>
    </row>
    <row r="1093" spans="1:1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s="4"/>
      <c r="M1093" t="s">
        <v>4280</v>
      </c>
      <c r="N1093" s="6">
        <v>628.43999999999994</v>
      </c>
      <c r="O1093" s="6" t="str">
        <f t="shared" si="17"/>
        <v>Normal</v>
      </c>
    </row>
    <row r="1094" spans="1:1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  <c r="O1094" s="6" t="str">
        <f t="shared" si="17"/>
        <v>Normal</v>
      </c>
    </row>
    <row r="1095" spans="1:1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  <c r="O1095" s="6" t="str">
        <f t="shared" si="17"/>
        <v>Normal</v>
      </c>
    </row>
    <row r="1096" spans="1:1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  <c r="O1096" s="6" t="str">
        <f t="shared" si="17"/>
        <v>Normal</v>
      </c>
    </row>
    <row r="1097" spans="1:1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  <c r="O1097" s="6" t="str">
        <f t="shared" si="17"/>
        <v>Normal</v>
      </c>
    </row>
    <row r="1098" spans="1:1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s="4"/>
      <c r="M1098" t="s">
        <v>4281</v>
      </c>
      <c r="N1098" s="6">
        <v>929.84</v>
      </c>
      <c r="O1098" s="6" t="str">
        <f t="shared" si="17"/>
        <v>Normal</v>
      </c>
    </row>
    <row r="1099" spans="1:1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  <c r="O1099" s="6" t="str">
        <f t="shared" si="17"/>
        <v>Normal</v>
      </c>
    </row>
    <row r="1100" spans="1:1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s="4"/>
      <c r="M1100" t="s">
        <v>4280</v>
      </c>
      <c r="N1100" s="6">
        <v>1023.44</v>
      </c>
      <c r="O1100" s="6" t="str">
        <f t="shared" si="17"/>
        <v>Normal</v>
      </c>
    </row>
    <row r="1101" spans="1:1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  <c r="O1101" s="6" t="str">
        <f t="shared" si="17"/>
        <v>Normal</v>
      </c>
    </row>
    <row r="1102" spans="1:1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  <c r="O1102" s="6" t="str">
        <f t="shared" si="17"/>
        <v>Normal</v>
      </c>
    </row>
    <row r="1103" spans="1:1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  <c r="O1103" s="6" t="str">
        <f t="shared" si="17"/>
        <v>Normal</v>
      </c>
    </row>
    <row r="1104" spans="1:1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s="4"/>
      <c r="M1104" t="s">
        <v>4278</v>
      </c>
      <c r="N1104" s="6">
        <v>1388.68</v>
      </c>
      <c r="O1104" s="6" t="str">
        <f t="shared" si="17"/>
        <v>Normal</v>
      </c>
    </row>
    <row r="1105" spans="1:1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s="4"/>
      <c r="M1105" t="s">
        <v>4282</v>
      </c>
      <c r="N1105" s="6">
        <v>1105.28</v>
      </c>
      <c r="O1105" s="6" t="str">
        <f t="shared" si="17"/>
        <v>Normal</v>
      </c>
    </row>
    <row r="1106" spans="1:1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s="4"/>
      <c r="M1106" t="s">
        <v>4278</v>
      </c>
      <c r="N1106" s="6">
        <v>1259.04</v>
      </c>
      <c r="O1106" s="6" t="str">
        <f t="shared" si="17"/>
        <v>Normal</v>
      </c>
    </row>
    <row r="1107" spans="1:1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  <c r="O1107" s="6" t="str">
        <f t="shared" si="17"/>
        <v>Normal</v>
      </c>
    </row>
    <row r="1108" spans="1:1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  <c r="O1108" s="6" t="str">
        <f t="shared" si="17"/>
        <v>Normal</v>
      </c>
    </row>
    <row r="1109" spans="1:1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  <c r="O1109" s="6" t="str">
        <f t="shared" si="17"/>
        <v>Normal</v>
      </c>
    </row>
    <row r="1110" spans="1:1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  <c r="O1110" s="6" t="str">
        <f t="shared" si="17"/>
        <v>Normal</v>
      </c>
    </row>
    <row r="1111" spans="1:1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  <c r="O1111" s="6" t="str">
        <f t="shared" si="17"/>
        <v>Normal</v>
      </c>
    </row>
    <row r="1112" spans="1:1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  <c r="O1112" s="6" t="str">
        <f t="shared" si="17"/>
        <v>Normal</v>
      </c>
    </row>
    <row r="1113" spans="1:1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  <c r="O1113" s="6" t="str">
        <f t="shared" si="17"/>
        <v>Normal</v>
      </c>
    </row>
    <row r="1114" spans="1:1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  <c r="O1114" s="6" t="str">
        <f t="shared" si="17"/>
        <v>Normal</v>
      </c>
    </row>
    <row r="1115" spans="1:1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s="4"/>
      <c r="M1115" t="s">
        <v>4282</v>
      </c>
      <c r="N1115" s="6">
        <v>839.96</v>
      </c>
      <c r="O1115" s="6" t="str">
        <f t="shared" si="17"/>
        <v>Normal</v>
      </c>
    </row>
    <row r="1116" spans="1:1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s="4"/>
      <c r="M1116" t="s">
        <v>4282</v>
      </c>
      <c r="N1116" s="6">
        <v>1979.64</v>
      </c>
      <c r="O1116" s="6" t="str">
        <f t="shared" si="17"/>
        <v>Normal</v>
      </c>
    </row>
    <row r="1117" spans="1:1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s="4"/>
      <c r="M1117" t="s">
        <v>4282</v>
      </c>
      <c r="N1117" s="6">
        <v>672.64</v>
      </c>
      <c r="O1117" s="6" t="str">
        <f t="shared" si="17"/>
        <v>Normal</v>
      </c>
    </row>
    <row r="1118" spans="1:1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  <c r="O1118" s="6" t="str">
        <f t="shared" si="17"/>
        <v>Normal</v>
      </c>
    </row>
    <row r="1119" spans="1:1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  <c r="O1119" s="6" t="str">
        <f t="shared" si="17"/>
        <v>Normal</v>
      </c>
    </row>
    <row r="1120" spans="1:1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s="4"/>
      <c r="M1120" t="s">
        <v>4280</v>
      </c>
      <c r="N1120" s="6">
        <v>754.43999999999994</v>
      </c>
      <c r="O1120" s="6" t="str">
        <f t="shared" si="17"/>
        <v>Normal</v>
      </c>
    </row>
    <row r="1121" spans="1:1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  <c r="O1121" s="6" t="str">
        <f t="shared" si="17"/>
        <v>Normal</v>
      </c>
    </row>
    <row r="1122" spans="1:1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s="4"/>
      <c r="M1122" t="s">
        <v>4281</v>
      </c>
      <c r="N1122" s="6">
        <v>195.86</v>
      </c>
      <c r="O1122" s="6" t="str">
        <f t="shared" si="17"/>
        <v>Normal</v>
      </c>
    </row>
    <row r="1123" spans="1:1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  <c r="O1123" s="6" t="str">
        <f t="shared" si="17"/>
        <v>Normal</v>
      </c>
    </row>
    <row r="1124" spans="1:1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s="4"/>
      <c r="M1124" t="s">
        <v>4281</v>
      </c>
      <c r="N1124" s="6">
        <v>3390.95</v>
      </c>
      <c r="O1124" s="6" t="str">
        <f t="shared" si="17"/>
        <v>Outlier</v>
      </c>
    </row>
    <row r="1125" spans="1:1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  <c r="O1125" s="6" t="str">
        <f t="shared" si="17"/>
        <v>Normal</v>
      </c>
    </row>
    <row r="1126" spans="1:1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s="4"/>
      <c r="M1126" t="s">
        <v>4278</v>
      </c>
      <c r="N1126" s="6">
        <v>2307.48</v>
      </c>
      <c r="O1126" s="6" t="str">
        <f t="shared" si="17"/>
        <v>Normal</v>
      </c>
    </row>
    <row r="1127" spans="1:1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  <c r="O1127" s="6" t="str">
        <f t="shared" si="17"/>
        <v>Normal</v>
      </c>
    </row>
    <row r="1128" spans="1:1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  <c r="O1128" s="6" t="str">
        <f t="shared" si="17"/>
        <v>Normal</v>
      </c>
    </row>
    <row r="1129" spans="1:1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  <c r="O1129" s="6" t="str">
        <f t="shared" si="17"/>
        <v>Normal</v>
      </c>
    </row>
    <row r="1130" spans="1:1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  <c r="O1130" s="6" t="str">
        <f t="shared" si="17"/>
        <v>Normal</v>
      </c>
    </row>
    <row r="1131" spans="1:1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  <c r="O1131" s="6" t="str">
        <f t="shared" si="17"/>
        <v>Normal</v>
      </c>
    </row>
    <row r="1132" spans="1:1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  <c r="O1132" s="6" t="str">
        <f t="shared" si="17"/>
        <v>Normal</v>
      </c>
    </row>
    <row r="1133" spans="1:1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  <c r="O1133" s="6" t="str">
        <f t="shared" si="17"/>
        <v>Normal</v>
      </c>
    </row>
    <row r="1134" spans="1:1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  <c r="O1134" s="6" t="str">
        <f t="shared" si="17"/>
        <v>Normal</v>
      </c>
    </row>
    <row r="1135" spans="1:1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  <c r="O1135" s="6" t="str">
        <f t="shared" si="17"/>
        <v>Normal</v>
      </c>
    </row>
    <row r="1136" spans="1:1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  <c r="O1136" s="6" t="str">
        <f t="shared" si="17"/>
        <v>Normal</v>
      </c>
    </row>
    <row r="1137" spans="1:1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  <c r="O1137" s="6" t="str">
        <f t="shared" si="17"/>
        <v>Normal</v>
      </c>
    </row>
    <row r="1138" spans="1:1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  <c r="O1138" s="6" t="str">
        <f t="shared" si="17"/>
        <v>Normal</v>
      </c>
    </row>
    <row r="1139" spans="1:1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  <c r="O1139" s="6" t="str">
        <f t="shared" si="17"/>
        <v>Normal</v>
      </c>
    </row>
    <row r="1140" spans="1:1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s="4"/>
      <c r="M1140" t="s">
        <v>4278</v>
      </c>
      <c r="N1140" s="6">
        <v>1177.6400000000001</v>
      </c>
      <c r="O1140" s="6" t="str">
        <f t="shared" si="17"/>
        <v>Normal</v>
      </c>
    </row>
    <row r="1141" spans="1:1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  <c r="O1141" s="6" t="str">
        <f t="shared" si="17"/>
        <v>Normal</v>
      </c>
    </row>
    <row r="1142" spans="1:1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s="4"/>
      <c r="M1142" t="s">
        <v>4279</v>
      </c>
      <c r="N1142" s="6">
        <v>1105.6600000000001</v>
      </c>
      <c r="O1142" s="6" t="str">
        <f t="shared" si="17"/>
        <v>Normal</v>
      </c>
    </row>
    <row r="1143" spans="1:1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s="4"/>
      <c r="M1143" t="s">
        <v>4280</v>
      </c>
      <c r="N1143" s="6">
        <v>1495.98</v>
      </c>
      <c r="O1143" s="6" t="str">
        <f t="shared" si="17"/>
        <v>Normal</v>
      </c>
    </row>
    <row r="1144" spans="1:1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s="4"/>
      <c r="M1144" t="s">
        <v>4280</v>
      </c>
      <c r="N1144" s="6">
        <v>2780.4</v>
      </c>
      <c r="O1144" s="6" t="str">
        <f t="shared" si="17"/>
        <v>Normal</v>
      </c>
    </row>
    <row r="1145" spans="1:1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s="4"/>
      <c r="M1145" t="s">
        <v>4280</v>
      </c>
      <c r="N1145" s="6">
        <v>381.61</v>
      </c>
      <c r="O1145" s="6" t="str">
        <f t="shared" si="17"/>
        <v>Normal</v>
      </c>
    </row>
    <row r="1146" spans="1:1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s="4"/>
      <c r="M1146" t="s">
        <v>4281</v>
      </c>
      <c r="N1146" s="6">
        <v>2539.6999999999998</v>
      </c>
      <c r="O1146" s="6" t="str">
        <f t="shared" si="17"/>
        <v>Normal</v>
      </c>
    </row>
    <row r="1147" spans="1:1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  <c r="O1147" s="6" t="str">
        <f t="shared" si="17"/>
        <v>Normal</v>
      </c>
    </row>
    <row r="1148" spans="1:1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  <c r="O1148" s="6" t="str">
        <f t="shared" si="17"/>
        <v>Normal</v>
      </c>
    </row>
    <row r="1149" spans="1:1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  <c r="O1149" s="6" t="str">
        <f t="shared" si="17"/>
        <v>Normal</v>
      </c>
    </row>
    <row r="1150" spans="1:1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  <c r="O1150" s="6" t="str">
        <f t="shared" si="17"/>
        <v>Normal</v>
      </c>
    </row>
    <row r="1151" spans="1:1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  <c r="O1151" s="6" t="str">
        <f t="shared" si="17"/>
        <v>Normal</v>
      </c>
    </row>
    <row r="1152" spans="1:1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  <c r="O1152" s="6" t="str">
        <f t="shared" si="17"/>
        <v>Normal</v>
      </c>
    </row>
    <row r="1153" spans="1:1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s="4"/>
      <c r="M1153" t="s">
        <v>4282</v>
      </c>
      <c r="N1153" s="6">
        <v>1216.08</v>
      </c>
      <c r="O1153" s="6" t="str">
        <f t="shared" si="17"/>
        <v>Normal</v>
      </c>
    </row>
    <row r="1154" spans="1:1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s="4"/>
      <c r="M1154" t="s">
        <v>4279</v>
      </c>
      <c r="N1154" s="6">
        <v>688.36</v>
      </c>
      <c r="O1154" s="6" t="str">
        <f t="shared" si="17"/>
        <v>Normal</v>
      </c>
    </row>
    <row r="1155" spans="1:1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s="4"/>
      <c r="M1155" t="s">
        <v>4278</v>
      </c>
      <c r="N1155" s="6">
        <v>2786.84</v>
      </c>
      <c r="O1155" s="6" t="str">
        <f t="shared" ref="O1155:O1201" si="18">IF(OR(N1155&lt;$P$10,N1155&gt;$P$13),"Outlier","Normal")</f>
        <v>Normal</v>
      </c>
    </row>
    <row r="1156" spans="1:1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  <c r="O1156" s="6" t="str">
        <f t="shared" si="18"/>
        <v>Normal</v>
      </c>
    </row>
    <row r="1157" spans="1:1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  <c r="O1157" s="6" t="str">
        <f t="shared" si="18"/>
        <v>Normal</v>
      </c>
    </row>
    <row r="1158" spans="1:1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s="4"/>
      <c r="M1158" t="s">
        <v>4279</v>
      </c>
      <c r="N1158" s="6">
        <v>2763.12</v>
      </c>
      <c r="O1158" s="6" t="str">
        <f t="shared" si="18"/>
        <v>Normal</v>
      </c>
    </row>
    <row r="1159" spans="1:1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  <c r="O1159" s="6" t="str">
        <f t="shared" si="18"/>
        <v>Normal</v>
      </c>
    </row>
    <row r="1160" spans="1:1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  <c r="O1160" s="6" t="str">
        <f t="shared" si="18"/>
        <v>Normal</v>
      </c>
    </row>
    <row r="1161" spans="1:1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s="4"/>
      <c r="M1161" t="s">
        <v>4278</v>
      </c>
      <c r="N1161" s="6">
        <v>1866.8</v>
      </c>
      <c r="O1161" s="6" t="str">
        <f t="shared" si="18"/>
        <v>Normal</v>
      </c>
    </row>
    <row r="1162" spans="1:1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  <c r="O1162" s="6" t="str">
        <f t="shared" si="18"/>
        <v>Normal</v>
      </c>
    </row>
    <row r="1163" spans="1:1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  <c r="O1163" s="6" t="str">
        <f t="shared" si="18"/>
        <v>Normal</v>
      </c>
    </row>
    <row r="1164" spans="1:1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  <c r="O1164" s="6" t="str">
        <f t="shared" si="18"/>
        <v>Normal</v>
      </c>
    </row>
    <row r="1165" spans="1:1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  <c r="O1165" s="6" t="str">
        <f t="shared" si="18"/>
        <v>Normal</v>
      </c>
    </row>
    <row r="1166" spans="1:1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  <c r="O1166" s="6" t="str">
        <f t="shared" si="18"/>
        <v>Normal</v>
      </c>
    </row>
    <row r="1167" spans="1:1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s="4"/>
      <c r="M1167" t="s">
        <v>4282</v>
      </c>
      <c r="N1167" s="6">
        <v>671.37</v>
      </c>
      <c r="O1167" s="6" t="str">
        <f t="shared" si="18"/>
        <v>Normal</v>
      </c>
    </row>
    <row r="1168" spans="1:1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  <c r="O1168" s="6" t="str">
        <f t="shared" si="18"/>
        <v>Normal</v>
      </c>
    </row>
    <row r="1169" spans="1:1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  <c r="O1169" s="6" t="str">
        <f t="shared" si="18"/>
        <v>Normal</v>
      </c>
    </row>
    <row r="1170" spans="1:1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  <c r="O1170" s="6" t="str">
        <f t="shared" si="18"/>
        <v>Normal</v>
      </c>
    </row>
    <row r="1171" spans="1:1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  <c r="O1171" s="6" t="str">
        <f t="shared" si="18"/>
        <v>Normal</v>
      </c>
    </row>
    <row r="1172" spans="1:1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  <c r="O1172" s="6" t="str">
        <f t="shared" si="18"/>
        <v>Normal</v>
      </c>
    </row>
    <row r="1173" spans="1:1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  <c r="O1173" s="6" t="str">
        <f t="shared" si="18"/>
        <v>Normal</v>
      </c>
    </row>
    <row r="1174" spans="1:1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s="4"/>
      <c r="M1174" t="s">
        <v>4278</v>
      </c>
      <c r="N1174" s="6">
        <v>395.88</v>
      </c>
      <c r="O1174" s="6" t="str">
        <f t="shared" si="18"/>
        <v>Normal</v>
      </c>
    </row>
    <row r="1175" spans="1:1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  <c r="O1175" s="6" t="str">
        <f t="shared" si="18"/>
        <v>Normal</v>
      </c>
    </row>
    <row r="1176" spans="1:1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  <c r="O1176" s="6" t="str">
        <f t="shared" si="18"/>
        <v>Normal</v>
      </c>
    </row>
    <row r="1177" spans="1:1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  <c r="O1177" s="6" t="str">
        <f t="shared" si="18"/>
        <v>Normal</v>
      </c>
    </row>
    <row r="1178" spans="1:1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  <c r="O1178" s="6" t="str">
        <f t="shared" si="18"/>
        <v>Normal</v>
      </c>
    </row>
    <row r="1179" spans="1:1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  <c r="O1179" s="6" t="str">
        <f t="shared" si="18"/>
        <v>Normal</v>
      </c>
    </row>
    <row r="1180" spans="1:1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  <c r="O1180" s="6" t="str">
        <f t="shared" si="18"/>
        <v>Normal</v>
      </c>
    </row>
    <row r="1181" spans="1:1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  <c r="O1181" s="6" t="str">
        <f t="shared" si="18"/>
        <v>Normal</v>
      </c>
    </row>
    <row r="1182" spans="1:1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  <c r="O1182" s="6" t="str">
        <f t="shared" si="18"/>
        <v>Normal</v>
      </c>
    </row>
    <row r="1183" spans="1:1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  <c r="O1183" s="6" t="str">
        <f t="shared" si="18"/>
        <v>Normal</v>
      </c>
    </row>
    <row r="1184" spans="1:1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  <c r="O1184" s="6" t="str">
        <f t="shared" si="18"/>
        <v>Normal</v>
      </c>
    </row>
    <row r="1185" spans="1:1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  <c r="O1185" s="6" t="str">
        <f t="shared" si="18"/>
        <v>Normal</v>
      </c>
    </row>
    <row r="1186" spans="1:1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s="4"/>
      <c r="M1186" t="s">
        <v>4282</v>
      </c>
      <c r="N1186" s="6">
        <v>204.08</v>
      </c>
      <c r="O1186" s="6" t="str">
        <f t="shared" si="18"/>
        <v>Normal</v>
      </c>
    </row>
    <row r="1187" spans="1:1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  <c r="O1187" s="6" t="str">
        <f t="shared" si="18"/>
        <v>Normal</v>
      </c>
    </row>
    <row r="1188" spans="1:1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  <c r="O1188" s="6" t="str">
        <f t="shared" si="18"/>
        <v>Normal</v>
      </c>
    </row>
    <row r="1189" spans="1:1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  <c r="O1189" s="6" t="str">
        <f t="shared" si="18"/>
        <v>Normal</v>
      </c>
    </row>
    <row r="1190" spans="1:1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  <c r="O1190" s="6" t="str">
        <f t="shared" si="18"/>
        <v>Normal</v>
      </c>
    </row>
    <row r="1191" spans="1:1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s="4"/>
      <c r="M1191" t="s">
        <v>4279</v>
      </c>
      <c r="N1191" s="6">
        <v>1946.1</v>
      </c>
      <c r="O1191" s="6" t="str">
        <f t="shared" si="18"/>
        <v>Normal</v>
      </c>
    </row>
    <row r="1192" spans="1:1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  <c r="O1192" s="6" t="str">
        <f t="shared" si="18"/>
        <v>Normal</v>
      </c>
    </row>
    <row r="1193" spans="1:1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  <c r="O1193" s="6" t="str">
        <f t="shared" si="18"/>
        <v>Normal</v>
      </c>
    </row>
    <row r="1194" spans="1:1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s="4"/>
      <c r="M1194" t="s">
        <v>4278</v>
      </c>
      <c r="N1194" s="6">
        <v>1298.55</v>
      </c>
      <c r="O1194" s="6" t="str">
        <f t="shared" si="18"/>
        <v>Normal</v>
      </c>
    </row>
    <row r="1195" spans="1:1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  <c r="O1195" s="6" t="str">
        <f t="shared" si="18"/>
        <v>Normal</v>
      </c>
    </row>
    <row r="1196" spans="1:1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  <c r="O1196" s="6" t="str">
        <f t="shared" si="18"/>
        <v>Normal</v>
      </c>
    </row>
    <row r="1197" spans="1:1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  <c r="O1197" s="6" t="str">
        <f t="shared" si="18"/>
        <v>Normal</v>
      </c>
    </row>
    <row r="1198" spans="1:1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s="4"/>
      <c r="M1198" t="s">
        <v>4281</v>
      </c>
      <c r="N1198" s="6">
        <v>1325.06</v>
      </c>
      <c r="O1198" s="6" t="str">
        <f t="shared" si="18"/>
        <v>Normal</v>
      </c>
    </row>
    <row r="1199" spans="1:1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  <c r="O1199" s="6" t="str">
        <f t="shared" si="18"/>
        <v>Normal</v>
      </c>
    </row>
    <row r="1200" spans="1:1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  <c r="O1200" s="6" t="str">
        <f t="shared" si="18"/>
        <v>Normal</v>
      </c>
    </row>
    <row r="1201" spans="1:1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  <c r="O1201" s="6" t="str">
        <f t="shared" si="18"/>
        <v>Normal</v>
      </c>
    </row>
    <row r="1204" spans="1:15">
      <c r="G1204" s="12" t="s">
        <v>4304</v>
      </c>
      <c r="H1204" s="12" t="s">
        <v>4305</v>
      </c>
      <c r="I1204" s="12" t="s">
        <v>4306</v>
      </c>
      <c r="J1204" s="12" t="s">
        <v>4307</v>
      </c>
    </row>
    <row r="1205" spans="1:15">
      <c r="G1205" t="s">
        <v>4308</v>
      </c>
      <c r="H1205">
        <v>1200</v>
      </c>
      <c r="I1205">
        <v>2.95</v>
      </c>
      <c r="J1205">
        <v>3</v>
      </c>
    </row>
    <row r="1206" spans="1:15">
      <c r="G1206" t="s">
        <v>4309</v>
      </c>
      <c r="H1206">
        <v>1200</v>
      </c>
      <c r="I1206">
        <v>356.41</v>
      </c>
      <c r="J1206">
        <v>364.21</v>
      </c>
    </row>
    <row r="1207" spans="1:15">
      <c r="G1207" t="s">
        <v>4310</v>
      </c>
      <c r="H1207">
        <v>1200</v>
      </c>
      <c r="I1207">
        <v>5.49</v>
      </c>
      <c r="J1207">
        <v>5</v>
      </c>
    </row>
    <row r="1208" spans="1:15">
      <c r="G1208" t="s">
        <v>4311</v>
      </c>
      <c r="H1208">
        <v>1200</v>
      </c>
      <c r="I1208">
        <v>1053.97</v>
      </c>
      <c r="J1208">
        <v>823.62</v>
      </c>
    </row>
  </sheetData>
  <autoFilter ref="O1:O1208"/>
  <conditionalFormatting sqref="N1:O1048576">
    <cfRule type="containsText" dxfId="1" priority="1" operator="containsText" text="OUTLIERS">
      <formula>NOT(ISERROR(SEARCH("OUTLIERS",N1)))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chege gatugi</dc:creator>
  <cp:lastModifiedBy>chege gatugi</cp:lastModifiedBy>
  <dcterms:created xsi:type="dcterms:W3CDTF">2025-06-21T13:19:12Z</dcterms:created>
  <dcterms:modified xsi:type="dcterms:W3CDTF">2026-06-15T19:16:46Z</dcterms:modified>
</cp:coreProperties>
</file>